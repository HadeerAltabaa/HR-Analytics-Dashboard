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slicers/slicer6.xml" ContentType="application/vnd.ms-excel.slicer+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harts/chart19.xml" ContentType="application/vnd.openxmlformats-officedocument.drawingml.chart+xml"/>
  <Override PartName="/xl/charts/style23.xml" ContentType="application/vnd.ms-office.chartstyle+xml"/>
  <Override PartName="/xl/charts/colors23.xml" ContentType="application/vnd.ms-office.chartcolorstyle+xml"/>
  <Override PartName="/xl/charts/chart20.xml" ContentType="application/vnd.openxmlformats-officedocument.drawingml.chart+xml"/>
  <Override PartName="/xl/charts/style24.xml" ContentType="application/vnd.ms-office.chartstyle+xml"/>
  <Override PartName="/xl/charts/colors24.xml" ContentType="application/vnd.ms-office.chartcolorstyle+xml"/>
  <Override PartName="/xl/charts/chart21.xml" ContentType="application/vnd.openxmlformats-officedocument.drawingml.chart+xml"/>
  <Override PartName="/xl/charts/style25.xml" ContentType="application/vnd.ms-office.chartstyle+xml"/>
  <Override PartName="/xl/charts/colors25.xml" ContentType="application/vnd.ms-office.chartcolorstyle+xml"/>
  <Override PartName="/xl/charts/chartEx5.xml" ContentType="application/vnd.ms-office.chartex+xml"/>
  <Override PartName="/xl/charts/style26.xml" ContentType="application/vnd.ms-office.chartstyle+xml"/>
  <Override PartName="/xl/charts/colors26.xml" ContentType="application/vnd.ms-office.chartcolorstyle+xml"/>
  <Override PartName="/xl/charts/chartEx6.xml" ContentType="application/vnd.ms-office.chartex+xml"/>
  <Override PartName="/xl/charts/style27.xml" ContentType="application/vnd.ms-office.chartstyle+xml"/>
  <Override PartName="/xl/charts/colors27.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ltab\Desktop\Projects\Data_Analysis_Projects\Excel_Projects\HR_Analytics_Project_4\"/>
    </mc:Choice>
  </mc:AlternateContent>
  <xr:revisionPtr revIDLastSave="0" documentId="13_ncr:1_{A6D70130-5D28-4813-871D-41D4E3E13CE6}" xr6:coauthVersionLast="47" xr6:coauthVersionMax="47" xr10:uidLastSave="{00000000-0000-0000-0000-000000000000}"/>
  <bookViews>
    <workbookView xWindow="-110" yWindow="-110" windowWidth="19420" windowHeight="11020" firstSheet="6" activeTab="10" xr2:uid="{00000000-000D-0000-FFFF-FFFF00000000}"/>
  </bookViews>
  <sheets>
    <sheet name="KPI" sheetId="7" r:id="rId1"/>
    <sheet name="Rating" sheetId="9" r:id="rId2"/>
    <sheet name="Gender" sheetId="10" r:id="rId3"/>
    <sheet name="Education by Attrition" sheetId="11" r:id="rId4"/>
    <sheet name="Attrition by Job" sheetId="12" r:id="rId5"/>
    <sheet name="Dept wise Attrition" sheetId="13" r:id="rId6"/>
    <sheet name="Attrition by Age Group" sheetId="14" r:id="rId7"/>
    <sheet name="Marital Status" sheetId="15" r:id="rId8"/>
    <sheet name="Data" sheetId="1" r:id="rId9"/>
    <sheet name="Dashboard" sheetId="8" state="hidden" r:id="rId10"/>
    <sheet name="Final Dashboard" sheetId="17" r:id="rId11"/>
    <sheet name="Images" sheetId="2" state="hidden" r:id="rId12"/>
    <sheet name="Background 1" sheetId="3" state="hidden" r:id="rId13"/>
    <sheet name="Background 2" sheetId="4" state="hidden" r:id="rId14"/>
    <sheet name="Background 3" sheetId="5" state="hidden" r:id="rId15"/>
    <sheet name="Background 4" sheetId="6" state="hidden" r:id="rId16"/>
  </sheets>
  <definedNames>
    <definedName name="_xlchart.v1.0" hidden="1">'Attrition by Job'!$A$17:$A$25</definedName>
    <definedName name="_xlchart.v1.1" hidden="1">'Attrition by Job'!$B$16</definedName>
    <definedName name="_xlchart.v1.10" hidden="1">'Attrition by Job'!$A$17:$A$25</definedName>
    <definedName name="_xlchart.v1.11" hidden="1">'Attrition by Job'!$B$16</definedName>
    <definedName name="_xlchart.v1.12" hidden="1">'Attrition by Job'!$B$17:$B$25</definedName>
    <definedName name="_xlchart.v1.2" hidden="1">'Attrition by Job'!$B$17:$B$25</definedName>
    <definedName name="_xlchart.v1.5" hidden="1">'Attrition by Job'!$A$17:$A$25</definedName>
    <definedName name="_xlchart.v1.6" hidden="1">'Attrition by Job'!$B$16</definedName>
    <definedName name="_xlchart.v1.7" hidden="1">'Attrition by Job'!$B$17:$B$25</definedName>
    <definedName name="_xlchart.v2.13" hidden="1">'Marital Status'!$D$4:$D$6</definedName>
    <definedName name="_xlchart.v2.14" hidden="1">'Marital Status'!$E$4:$E$6</definedName>
    <definedName name="_xlchart.v2.3" hidden="1">'Marital Status'!$D$4:$D$6</definedName>
    <definedName name="_xlchart.v2.4" hidden="1">'Marital Status'!$E$4:$E$6</definedName>
    <definedName name="_xlchart.v2.8" hidden="1">'Marital Status'!$D$4:$D$6</definedName>
    <definedName name="_xlchart.v2.9" hidden="1">'Marital Status'!$E$4:$E$6</definedName>
    <definedName name="Slicer_Department">#N/A</definedName>
    <definedName name="Slicer_Education_Field2">#N/A</definedName>
    <definedName name="Slicer_Gender2">#N/A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2" roundtripDataChecksum="0W7NtiAel2xy0cZdwUBcRsMoEuXg6pzXui43o1bypBA="/>
    </ext>
  </extLst>
</workbook>
</file>

<file path=xl/calcChain.xml><?xml version="1.0" encoding="utf-8"?>
<calcChain xmlns="http://schemas.openxmlformats.org/spreadsheetml/2006/main">
  <c r="A17" i="12" l="1" a="1"/>
  <c r="A17" i="12" s="1"/>
  <c r="D4" i="15" a="1"/>
  <c r="D4" i="15" s="1"/>
  <c r="A8" i="7"/>
  <c r="B10" i="10"/>
  <c r="B9" i="10"/>
  <c r="B9" i="9"/>
  <c r="B8" i="9"/>
  <c r="C8" i="7"/>
  <c r="B8" i="7"/>
  <c r="C9" i="10" l="1"/>
  <c r="C10" i="10"/>
  <c r="C8" i="9"/>
  <c r="C9" i="9"/>
  <c r="D8" i="7"/>
  <c r="E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<sst xmlns="http://schemas.openxmlformats.org/spreadsheetml/2006/main" count="19216" uniqueCount="1569">
  <si>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</si>
  <si>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</si>
  <si>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</si>
  <si>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</si>
  <si>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</si>
  <si>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</si>
  <si>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</si>
  <si>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</si>
  <si>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</si>
  <si>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</si>
  <si>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</si>
  <si>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</si>
  <si>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</si>
  <si>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</si>
  <si>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</si>
  <si>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</si>
  <si>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</si>
  <si>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</si>
  <si>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</si>
  <si>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</si>
  <si>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</si>
  <si>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</si>
  <si>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</si>
  <si>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</si>
  <si>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</si>
  <si>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</si>
  <si>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</si>
  <si>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</si>
  <si>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</si>
  <si>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</si>
  <si>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</si>
  <si>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</si>
  <si>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</si>
  <si>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</si>
  <si>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</si>
  <si>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</si>
  <si>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</si>
  <si>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</si>
  <si>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</si>
  <si>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</si>
  <si>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</si>
  <si>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</si>
  <si>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</si>
  <si>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</si>
  <si>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</si>
  <si>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</si>
  <si>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</si>
  <si>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</si>
  <si>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</si>
  <si>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</si>
  <si>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</si>
  <si>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</si>
  <si>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</si>
  <si>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</si>
  <si>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</si>
  <si>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</si>
  <si>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</si>
  <si>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</si>
  <si>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</si>
  <si>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</si>
  <si>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</si>
  <si>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</si>
  <si>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</si>
  <si>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</si>
  <si>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</si>
  <si>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</si>
  <si>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</si>
  <si>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</si>
  <si>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</si>
  <si>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</si>
  <si>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</si>
  <si>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</si>
  <si>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</si>
  <si>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</si>
  <si>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</si>
  <si>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</si>
  <si>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</si>
  <si>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</si>
  <si>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</si>
  <si>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</si>
  <si>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</si>
  <si>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</si>
  <si>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</si>
  <si>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</si>
  <si>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</si>
  <si>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</si>
  <si>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</si>
  <si>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</si>
  <si>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</si>
  <si>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</si>
  <si>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</si>
  <si>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</si>
  <si>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</si>
  <si>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</si>
  <si>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</si>
  <si>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</si>
  <si>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</si>
  <si>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</si>
  <si>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</si>
  <si>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</si>
  <si>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</si>
  <si>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</si>
  <si>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</si>
  <si>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</si>
  <si>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</si>
  <si>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</si>
  <si>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</si>
  <si>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</si>
  <si>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</si>
  <si>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</si>
  <si>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</si>
  <si>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</si>
  <si>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</si>
  <si>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</si>
  <si>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</si>
  <si>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</si>
  <si>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</si>
  <si>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</si>
  <si>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</si>
  <si>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</si>
  <si>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</si>
  <si>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</si>
  <si>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</si>
  <si>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</si>
  <si>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</si>
  <si>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</si>
  <si>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</si>
  <si>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</si>
  <si>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</si>
  <si>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</si>
  <si>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</si>
  <si>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</si>
  <si>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</si>
  <si>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</si>
  <si>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</si>
  <si>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</si>
  <si>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</si>
  <si>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</si>
  <si>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</si>
  <si>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</si>
  <si>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</si>
  <si>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</si>
  <si>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</si>
  <si>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</si>
  <si>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</si>
  <si>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</si>
  <si>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</si>
  <si>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</si>
  <si>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</si>
  <si>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</si>
  <si>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</si>
  <si>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</si>
  <si>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</si>
  <si>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</si>
  <si>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</si>
  <si>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</si>
  <si>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</si>
  <si>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</si>
  <si>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</si>
  <si>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</si>
  <si>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</si>
  <si>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</si>
  <si>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</si>
  <si>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</si>
  <si>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</si>
  <si>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</si>
  <si>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</si>
  <si>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</si>
  <si>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</si>
  <si>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</si>
  <si>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</si>
  <si>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</si>
  <si>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</si>
  <si>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</si>
  <si>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</si>
  <si>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</si>
  <si>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</si>
  <si>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</si>
  <si>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</si>
  <si>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</si>
  <si>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</si>
  <si>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</si>
  <si>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</si>
  <si>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</si>
  <si>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</si>
  <si>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</si>
  <si>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</si>
  <si>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</si>
  <si>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</si>
  <si>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</si>
  <si>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</si>
  <si>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</si>
  <si>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</si>
  <si>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</si>
  <si>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</si>
  <si>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</si>
  <si>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</si>
  <si>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</si>
  <si>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</si>
  <si>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</si>
  <si>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</si>
  <si>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</si>
  <si>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</si>
  <si>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</si>
  <si>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</si>
  <si>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</si>
  <si>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</si>
  <si>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</si>
  <si>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</si>
  <si>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</si>
  <si>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</si>
  <si>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</si>
  <si>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</si>
  <si>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</si>
  <si>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</si>
  <si>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</si>
  <si>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</si>
  <si>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</si>
  <si>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</si>
  <si>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</si>
  <si>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</si>
  <si>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</si>
  <si>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</si>
  <si>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</si>
  <si>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</si>
  <si>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</si>
  <si>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</si>
  <si>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</si>
  <si>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</si>
  <si>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</si>
  <si>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</si>
  <si>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</si>
  <si>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</si>
  <si>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</si>
  <si>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</si>
  <si>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</si>
  <si>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</si>
  <si>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</si>
  <si>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</si>
  <si>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</si>
  <si>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</si>
  <si>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</si>
  <si>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</si>
  <si>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</si>
  <si>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</si>
  <si>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</si>
  <si>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</si>
  <si>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</si>
  <si>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</si>
  <si>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</si>
  <si>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</si>
  <si>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</si>
  <si>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</si>
  <si>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</si>
  <si>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</si>
  <si>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</si>
  <si>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</si>
  <si>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</si>
  <si>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</si>
  <si>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</si>
  <si>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</si>
  <si>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</si>
  <si>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</si>
  <si>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</si>
  <si>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</si>
  <si>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</si>
  <si>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</si>
  <si>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</si>
  <si>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</si>
  <si>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</si>
  <si>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</si>
  <si>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</si>
  <si>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</si>
  <si>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</si>
  <si>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</si>
  <si>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</si>
  <si>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</si>
  <si>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</si>
  <si>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</si>
  <si>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</si>
  <si>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</si>
  <si>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</si>
  <si>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</si>
  <si>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</si>
  <si>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</si>
  <si>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</si>
  <si>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</si>
  <si>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</si>
  <si>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</si>
  <si>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</si>
  <si>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</si>
  <si>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</si>
  <si>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</si>
  <si>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</si>
  <si>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</si>
  <si>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</si>
  <si>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</si>
  <si>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</si>
  <si>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</si>
  <si>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</si>
  <si>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</si>
  <si>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</si>
  <si>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</si>
  <si>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</si>
  <si>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</si>
  <si>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</si>
  <si>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</si>
  <si>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</si>
  <si>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</si>
  <si>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</si>
  <si>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</si>
  <si>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</si>
  <si>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</si>
  <si>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</si>
  <si>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</si>
  <si>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</si>
  <si>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</si>
  <si>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</si>
  <si>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</si>
  <si>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</si>
  <si>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</si>
  <si>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</si>
  <si>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</si>
  <si>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</si>
  <si>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</si>
  <si>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</si>
  <si>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</si>
  <si>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</si>
  <si>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</si>
  <si>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</si>
  <si>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</si>
  <si>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</si>
  <si>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</si>
  <si>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</si>
  <si>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</si>
  <si>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</si>
  <si>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</si>
  <si>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</si>
  <si>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</si>
  <si>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</si>
  <si>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</si>
  <si>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</si>
  <si>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</si>
  <si>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</si>
  <si>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</si>
  <si>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</si>
  <si>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</si>
  <si>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</si>
  <si>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</si>
  <si>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</si>
  <si>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</si>
  <si>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</si>
  <si>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</si>
  <si>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</si>
  <si>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</si>
  <si>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</si>
  <si>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</si>
  <si>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</si>
  <si>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</si>
  <si>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</si>
  <si>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</si>
  <si>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</si>
  <si>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</si>
  <si>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</si>
  <si>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</si>
  <si>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</si>
  <si>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</si>
  <si>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</si>
  <si>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</si>
  <si>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</si>
  <si>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</si>
  <si>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</si>
  <si>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</si>
  <si>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</si>
  <si>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</si>
  <si>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</si>
  <si>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</si>
  <si>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</si>
  <si>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</si>
  <si>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</si>
  <si>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</si>
  <si>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</si>
  <si>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</si>
  <si>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</si>
  <si>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</si>
  <si>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</si>
  <si>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</si>
  <si>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</si>
  <si>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</si>
  <si>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</si>
  <si>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</si>
  <si>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</si>
  <si>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</si>
  <si>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</si>
  <si>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</si>
  <si>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</si>
  <si>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</si>
  <si>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</si>
  <si>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</si>
  <si>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</si>
  <si>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</si>
  <si>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</si>
  <si>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</si>
  <si>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</si>
  <si>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</si>
  <si>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</si>
  <si>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</si>
  <si>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</si>
  <si>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</si>
  <si>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</si>
  <si>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</si>
  <si>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</si>
  <si>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</si>
  <si>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</si>
  <si>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</si>
  <si>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</si>
  <si>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</si>
  <si>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</si>
  <si>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</si>
  <si>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</si>
  <si>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</si>
  <si>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</si>
  <si>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</si>
  <si>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</si>
  <si>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</si>
  <si>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</si>
  <si>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</si>
  <si>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</si>
  <si>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</si>
  <si>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</si>
  <si>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</si>
  <si>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</si>
  <si>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</si>
  <si>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</si>
  <si>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</si>
  <si>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</si>
  <si>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</si>
  <si>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</si>
  <si>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</si>
  <si>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</si>
  <si>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</si>
  <si>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</si>
  <si>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</si>
  <si>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</si>
  <si>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</si>
  <si>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</si>
  <si>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</si>
  <si>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</si>
  <si>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</si>
  <si>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</si>
  <si>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</si>
  <si>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</si>
  <si>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</si>
  <si>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</si>
  <si>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</si>
  <si>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</si>
  <si>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</si>
  <si>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</si>
  <si>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</si>
  <si>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</si>
  <si>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</si>
  <si>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</si>
  <si>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</si>
  <si>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</si>
  <si>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</si>
  <si>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</si>
  <si>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</si>
  <si>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</si>
  <si>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</si>
  <si>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</si>
  <si>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</si>
  <si>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</si>
  <si>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</si>
  <si>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</si>
  <si>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</si>
  <si>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</si>
  <si>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</si>
  <si>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</si>
  <si>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</si>
  <si>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</si>
  <si>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</si>
  <si>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</si>
  <si>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</si>
  <si>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</si>
  <si>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</si>
  <si>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</si>
  <si>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</si>
  <si>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</si>
  <si>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</si>
  <si>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</si>
  <si>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</si>
  <si>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</si>
  <si>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</si>
  <si>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</si>
  <si>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</si>
  <si>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</si>
  <si>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</si>
  <si>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</si>
  <si>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</si>
  <si>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</si>
  <si>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</si>
  <si>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</si>
  <si>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</si>
  <si>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</si>
  <si>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</si>
  <si>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</si>
  <si>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</si>
  <si>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</si>
  <si>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</si>
  <si>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</si>
  <si>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</si>
  <si>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</si>
  <si>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</si>
  <si>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</si>
  <si>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</si>
  <si>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</si>
  <si>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</si>
  <si>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</si>
  <si>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</si>
  <si>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</si>
  <si>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</si>
  <si>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</si>
  <si>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</si>
  <si>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</si>
  <si>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</si>
  <si>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</si>
  <si>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</si>
  <si>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</si>
  <si>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</si>
  <si>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</si>
  <si>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</si>
  <si>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</si>
  <si>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</si>
  <si>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</si>
  <si>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</si>
  <si>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</si>
  <si>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</si>
  <si>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</si>
  <si>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</si>
  <si>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</si>
  <si>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</si>
  <si>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</si>
  <si>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</si>
  <si>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</si>
  <si>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</si>
  <si>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</si>
  <si>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</si>
  <si>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</si>
  <si>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</si>
  <si>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</si>
  <si>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</si>
  <si>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</si>
  <si>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</si>
  <si>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</si>
  <si>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</si>
  <si>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</si>
  <si>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</si>
  <si>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</si>
  <si>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</si>
  <si>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</si>
  <si>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</si>
  <si>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</si>
  <si>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</si>
  <si>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</si>
  <si>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</si>
  <si>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</si>
  <si>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</si>
  <si>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</si>
  <si>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</si>
  <si>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</si>
  <si>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</si>
  <si>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</si>
  <si>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</si>
  <si>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</si>
  <si>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</si>
  <si>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</si>
  <si>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</si>
  <si>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</si>
  <si>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</si>
  <si>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</si>
  <si>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</si>
  <si>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</si>
  <si>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</si>
  <si>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</si>
  <si>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</si>
  <si>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</si>
  <si>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</si>
  <si>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</si>
  <si>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</si>
  <si>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</si>
  <si>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</si>
  <si>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</si>
  <si>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</si>
  <si>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</si>
  <si>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</si>
  <si>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</si>
  <si>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</si>
  <si>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</si>
  <si>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</si>
  <si>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</si>
  <si>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</si>
  <si>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</si>
  <si>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</si>
  <si>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</si>
  <si>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</si>
  <si>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</si>
  <si>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</si>
  <si>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</si>
  <si>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</si>
  <si>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</si>
  <si>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</si>
  <si>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</si>
  <si>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</si>
  <si>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</si>
  <si>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</si>
  <si>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</si>
  <si>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</si>
  <si>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</si>
  <si>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</si>
  <si>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</si>
  <si>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</si>
  <si>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</si>
  <si>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</si>
  <si>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</si>
  <si>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</si>
  <si>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</si>
  <si>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</si>
  <si>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</si>
  <si>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</si>
  <si>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</si>
  <si>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</si>
  <si>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</si>
  <si>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</si>
  <si>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</si>
  <si>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</si>
  <si>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</si>
  <si>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</si>
  <si>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</si>
  <si>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</si>
  <si>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</si>
  <si>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</si>
  <si>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</si>
  <si>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</si>
  <si>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</si>
  <si>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</si>
  <si>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</si>
  <si>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</si>
  <si>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</si>
  <si>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</si>
  <si>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</si>
  <si>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</si>
  <si>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</si>
  <si>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</si>
  <si>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</si>
  <si>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</si>
  <si>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</si>
  <si>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</si>
  <si>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</si>
  <si>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</si>
  <si>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</si>
  <si>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</si>
  <si>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</si>
  <si>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</si>
  <si>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</si>
  <si>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</si>
  <si>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</si>
  <si>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</si>
  <si>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</si>
  <si>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</si>
  <si>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</si>
  <si>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</si>
  <si>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</si>
  <si>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</si>
  <si>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</si>
  <si>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</si>
  <si>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</si>
  <si>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</si>
  <si>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</si>
  <si>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</si>
  <si>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</si>
  <si>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</si>
  <si>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</si>
  <si>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</si>
  <si>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</si>
  <si>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</si>
  <si>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</si>
  <si>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</si>
  <si>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</si>
  <si>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</si>
  <si>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</si>
  <si>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</si>
  <si>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</si>
  <si>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</si>
  <si>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</si>
  <si>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</si>
  <si>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</si>
  <si>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</si>
  <si>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</si>
  <si>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</si>
  <si>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</si>
  <si>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</si>
  <si>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</si>
  <si>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</si>
  <si>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</si>
  <si>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</si>
  <si>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</si>
  <si>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</si>
  <si>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</si>
  <si>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</si>
  <si>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</si>
  <si>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</si>
  <si>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</si>
  <si>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</si>
  <si>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</si>
  <si>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</si>
  <si>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</si>
  <si>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</si>
  <si>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</si>
  <si>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</si>
  <si>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</si>
  <si>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</si>
  <si>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</si>
  <si>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</si>
  <si>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</si>
  <si>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</si>
  <si>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</si>
  <si>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</si>
  <si>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</si>
  <si>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</si>
  <si>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</si>
  <si>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</si>
  <si>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</si>
  <si>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</si>
  <si>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</si>
  <si>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</si>
  <si>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</si>
  <si>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</si>
  <si>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</si>
  <si>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</si>
  <si>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</si>
  <si>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</si>
  <si>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</si>
  <si>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</si>
  <si>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</si>
  <si>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</si>
  <si>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</si>
  <si>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</si>
  <si>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</si>
  <si>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</si>
  <si>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</si>
  <si>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</si>
  <si>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</si>
  <si>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</si>
  <si>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</si>
  <si>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</si>
  <si>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</si>
  <si>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</si>
  <si>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</si>
  <si>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</si>
  <si>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</si>
  <si>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</si>
  <si>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</si>
  <si>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</si>
  <si>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</si>
  <si>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</si>
  <si>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</si>
  <si>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</si>
  <si>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</si>
  <si>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</si>
  <si>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</si>
  <si>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</si>
  <si>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</si>
  <si>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</si>
  <si>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</si>
  <si>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</si>
  <si>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</si>
  <si>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</si>
  <si>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</si>
  <si>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</si>
  <si>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</si>
  <si>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</si>
  <si>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</si>
  <si>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</si>
  <si>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</si>
  <si>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</si>
  <si>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</si>
  <si>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</si>
  <si>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</si>
  <si>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</si>
  <si>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</si>
  <si>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</si>
  <si>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</si>
  <si>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</si>
  <si>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</si>
  <si>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</si>
  <si>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</si>
  <si>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</si>
  <si>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</si>
  <si>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</si>
  <si>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</si>
  <si>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</si>
  <si>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</si>
  <si>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</si>
  <si>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</si>
  <si>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</si>
  <si>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</si>
  <si>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</si>
  <si>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</si>
  <si>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</si>
  <si>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</si>
  <si>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</si>
  <si>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</si>
  <si>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</si>
  <si>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</si>
  <si>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</si>
  <si>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</si>
  <si>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</si>
  <si>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</si>
  <si>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</si>
  <si>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</si>
  <si>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</si>
  <si>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</si>
  <si>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</si>
  <si>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</si>
  <si>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</si>
  <si>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</si>
  <si>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</si>
  <si>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</si>
  <si>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</si>
  <si>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</si>
  <si>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</si>
  <si>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</si>
  <si>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</si>
  <si>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</si>
  <si>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</si>
  <si>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</si>
  <si>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</si>
  <si>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</si>
  <si>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</si>
  <si>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</si>
  <si>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</si>
  <si>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</si>
  <si>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</si>
  <si>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</si>
  <si>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</si>
  <si>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</si>
  <si>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</si>
  <si>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</si>
  <si>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</si>
  <si>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</si>
  <si>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</si>
  <si>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</si>
  <si>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</si>
  <si>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</si>
  <si>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</si>
  <si>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</si>
  <si>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</si>
  <si>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</si>
  <si>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</si>
  <si>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</si>
  <si>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</si>
  <si>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</si>
  <si>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</si>
  <si>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</si>
  <si>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</si>
  <si>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</si>
  <si>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</si>
  <si>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</si>
  <si>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</si>
  <si>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</si>
  <si>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</si>
  <si>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</si>
  <si>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</si>
  <si>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</si>
  <si>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</si>
  <si>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</si>
  <si>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</si>
  <si>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</si>
  <si>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</si>
  <si>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</si>
  <si>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</si>
  <si>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</si>
  <si>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</si>
  <si>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</si>
  <si>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</si>
  <si>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</si>
  <si>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</si>
  <si>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</si>
  <si>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</si>
  <si>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</si>
  <si>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</si>
  <si>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</si>
  <si>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</si>
  <si>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</si>
  <si>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</si>
  <si>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</si>
  <si>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</si>
  <si>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</si>
  <si>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</si>
  <si>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</si>
  <si>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</si>
  <si>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</si>
  <si>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</si>
  <si>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</si>
  <si>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</si>
  <si>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</si>
  <si>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</si>
  <si>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</si>
  <si>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</si>
  <si>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</si>
  <si>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</si>
  <si>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</si>
  <si>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</si>
  <si>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</si>
  <si>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</si>
  <si>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</si>
  <si>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</si>
  <si>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</si>
  <si>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</si>
  <si>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</si>
  <si>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</si>
  <si>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</si>
  <si>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</si>
  <si>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</si>
  <si>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</si>
  <si>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</si>
  <si>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</si>
  <si>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</si>
  <si>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</si>
  <si>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</si>
  <si>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</si>
  <si>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</si>
  <si>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</si>
  <si>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</si>
  <si>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</si>
  <si>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</si>
  <si>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</si>
  <si>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</si>
  <si>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</si>
  <si>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</si>
  <si>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</si>
  <si>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</si>
  <si>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</si>
  <si>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</si>
  <si>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</si>
  <si>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</si>
  <si>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</si>
  <si>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</si>
  <si>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</si>
  <si>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</si>
  <si>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</si>
  <si>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</si>
  <si>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</si>
  <si>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</si>
  <si>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</si>
  <si>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</si>
  <si>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</si>
  <si>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</si>
  <si>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</si>
  <si>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</si>
  <si>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</si>
  <si>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</si>
  <si>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</si>
  <si>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</si>
  <si>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</si>
  <si>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</si>
  <si>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</si>
  <si>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</si>
  <si>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</si>
  <si>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</si>
  <si>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</si>
  <si>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</si>
  <si>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</si>
  <si>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</si>
  <si>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</si>
  <si>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</si>
  <si>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</si>
  <si>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</si>
  <si>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</si>
  <si>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</si>
  <si>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</si>
  <si>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</si>
  <si>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</si>
  <si>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</si>
  <si>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</si>
  <si>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</si>
  <si>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</si>
  <si>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</si>
  <si>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</si>
  <si>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</si>
  <si>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</si>
  <si>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</si>
  <si>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</si>
  <si>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</si>
  <si>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</si>
  <si>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</si>
  <si>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</si>
  <si>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</si>
  <si>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</si>
  <si>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</si>
  <si>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</si>
  <si>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</si>
  <si>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</si>
  <si>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</si>
  <si>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</si>
  <si>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</si>
  <si>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</si>
  <si>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</si>
  <si>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</si>
  <si>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</si>
  <si>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</si>
  <si>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</si>
  <si>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</si>
  <si>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</si>
  <si>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</si>
  <si>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</si>
  <si>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</si>
  <si>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</si>
  <si>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</si>
  <si>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</si>
  <si>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</si>
  <si>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</si>
  <si>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</si>
  <si>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</si>
  <si>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</si>
  <si>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</si>
  <si>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</si>
  <si>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</si>
  <si>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</si>
  <si>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</si>
  <si>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</si>
  <si>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</si>
  <si>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</si>
  <si>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</si>
  <si>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</si>
  <si>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</si>
  <si>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</si>
  <si>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</si>
  <si>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</si>
  <si>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</si>
  <si>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</si>
  <si>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</si>
  <si>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</si>
  <si>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</si>
  <si>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</si>
  <si>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</si>
  <si>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</si>
  <si>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</si>
  <si>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</si>
  <si>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</si>
  <si>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</si>
  <si>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</si>
  <si>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</si>
  <si>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</si>
  <si>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</si>
  <si>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</si>
  <si>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</si>
  <si>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</si>
  <si>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</si>
  <si>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</si>
  <si>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</si>
  <si>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</si>
  <si>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</si>
  <si>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</si>
  <si>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</si>
  <si>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</si>
  <si>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</si>
  <si>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</si>
  <si>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</si>
  <si>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</si>
  <si>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</si>
  <si>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</si>
  <si>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</si>
  <si>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</si>
  <si>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</si>
  <si>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</si>
  <si>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</si>
  <si>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</si>
  <si>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</si>
  <si>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</si>
  <si>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</si>
  <si>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</si>
  <si>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</si>
  <si>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</si>
  <si>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</si>
  <si>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</si>
  <si>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</si>
  <si>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</si>
  <si>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</si>
  <si>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</si>
  <si>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</si>
  <si>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</si>
  <si>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</si>
  <si>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</si>
  <si>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</si>
  <si>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</si>
  <si>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</si>
  <si>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</si>
  <si>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</si>
  <si>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</si>
  <si>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</si>
  <si>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</si>
  <si>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</si>
  <si>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</si>
  <si>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</si>
  <si>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</si>
  <si>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</si>
  <si>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</si>
  <si>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</si>
  <si>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</si>
  <si>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</si>
  <si>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</si>
  <si>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</si>
  <si>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</si>
  <si>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</si>
  <si>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</si>
  <si>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</si>
  <si>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</si>
  <si>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</si>
  <si>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</si>
  <si>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</si>
  <si>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</si>
  <si>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</si>
  <si>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</si>
  <si>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</si>
  <si>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</si>
  <si>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</si>
  <si>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</si>
  <si>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</si>
  <si>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</si>
  <si>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</si>
  <si>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</si>
  <si>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</si>
  <si>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</si>
  <si>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</si>
  <si>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</si>
  <si>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</si>
  <si>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</si>
  <si>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</si>
  <si>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</si>
  <si>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</si>
  <si>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</si>
  <si>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</si>
  <si>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</si>
  <si>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</si>
  <si>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</si>
  <si>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</si>
  <si>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</si>
  <si>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</si>
  <si>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</si>
  <si>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</si>
  <si>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</si>
  <si>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</si>
  <si>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</si>
  <si>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</si>
  <si>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</si>
  <si>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</si>
  <si>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</si>
  <si>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</si>
  <si>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</si>
  <si>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</si>
  <si>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</si>
  <si>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</si>
  <si>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</si>
  <si>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</si>
  <si>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</si>
  <si>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</si>
  <si>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</si>
  <si>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</si>
  <si>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</si>
  <si>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</si>
  <si>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</si>
  <si>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</si>
  <si>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</si>
  <si>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</si>
  <si>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</si>
  <si>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</si>
  <si>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</si>
  <si>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</si>
  <si>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</si>
  <si>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</si>
  <si>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</si>
  <si>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</si>
  <si>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</si>
  <si>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</si>
  <si>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</si>
  <si>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</si>
  <si>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</si>
  <si>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</si>
  <si>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</si>
  <si>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</si>
  <si>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</si>
  <si>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</si>
  <si>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</si>
  <si>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</si>
  <si>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</si>
  <si>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</si>
  <si>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</si>
  <si>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</si>
  <si>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</si>
  <si>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</si>
  <si>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</si>
  <si>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</si>
  <si>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</si>
  <si>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</si>
  <si>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</si>
  <si>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</si>
  <si>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</si>
  <si>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</si>
  <si>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</si>
  <si>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</si>
  <si>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</si>
  <si>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</si>
  <si>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</si>
  <si>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</si>
  <si>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</si>
  <si>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</si>
  <si>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</si>
  <si>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</si>
  <si>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</si>
  <si>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</si>
  <si>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</si>
  <si>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</si>
  <si>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</si>
  <si>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</si>
  <si>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</si>
  <si>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</si>
  <si>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</si>
  <si>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</si>
  <si>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</si>
  <si>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</si>
  <si>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</si>
  <si>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</si>
  <si>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</si>
  <si>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</si>
  <si>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</si>
  <si>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</si>
  <si>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</si>
  <si>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</si>
  <si>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</si>
  <si>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</si>
  <si>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</si>
  <si>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</si>
  <si>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</si>
  <si>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</si>
  <si>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</si>
  <si>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</si>
  <si>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</si>
  <si>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</si>
  <si>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</si>
  <si>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</si>
  <si>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</si>
  <si>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</si>
  <si>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</si>
  <si>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</si>
  <si>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</si>
  <si>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</si>
  <si>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</si>
  <si>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</si>
  <si>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</si>
  <si>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</si>
  <si>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</si>
  <si>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</si>
  <si>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</si>
  <si>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</si>
  <si>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</si>
  <si>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</si>
  <si>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</si>
  <si>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</si>
  <si>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</si>
  <si>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</si>
  <si>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</si>
  <si>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</si>
  <si>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</si>
  <si>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</si>
  <si>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</si>
  <si>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</si>
  <si>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</si>
  <si>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</si>
  <si>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</si>
  <si>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</si>
  <si>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</si>
  <si>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</si>
  <si>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</si>
  <si>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</si>
  <si>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</si>
  <si>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</si>
  <si>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</si>
  <si>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</si>
  <si>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</si>
  <si>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</si>
  <si>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</si>
  <si>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</si>
  <si>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</si>
  <si>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</si>
  <si>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</si>
  <si>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</si>
  <si>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</si>
  <si>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</si>
  <si>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</si>
  <si>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</si>
  <si>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</si>
  <si>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</si>
  <si>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</si>
  <si>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</si>
  <si>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</si>
  <si>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</si>
  <si>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</si>
  <si>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</si>
  <si>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</si>
  <si>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</si>
  <si>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</si>
  <si>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</si>
  <si>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</si>
  <si>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</si>
  <si>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</si>
  <si>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</si>
  <si>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</si>
  <si>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</si>
  <si>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</si>
  <si>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</si>
  <si>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</si>
  <si>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</si>
  <si>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</si>
  <si>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</si>
  <si>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</si>
  <si>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</si>
  <si>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</si>
  <si>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</si>
  <si>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</si>
  <si>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</si>
  <si>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</si>
  <si>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</si>
  <si>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</si>
  <si>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</si>
  <si>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</si>
  <si>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</si>
  <si>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</si>
  <si>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</si>
  <si>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</si>
  <si>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</si>
  <si>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</si>
  <si>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</si>
  <si>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</si>
  <si>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</si>
  <si>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</si>
  <si>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</si>
  <si>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</si>
  <si>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</si>
  <si>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</si>
  <si>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</si>
  <si>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</si>
  <si>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</si>
  <si>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</si>
  <si>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</si>
  <si>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</si>
  <si>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</si>
  <si>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</si>
  <si>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</si>
  <si>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</si>
  <si>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</si>
  <si>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</si>
  <si>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</si>
  <si>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</si>
  <si>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</si>
  <si>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</si>
  <si>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</si>
  <si>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</si>
  <si>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</si>
  <si>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</si>
  <si>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</si>
  <si>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</si>
  <si>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</si>
  <si>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</si>
  <si>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</si>
  <si>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</si>
  <si>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</si>
  <si>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</si>
  <si>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</si>
  <si>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</si>
  <si>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</si>
  <si>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</si>
  <si>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</si>
  <si>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</si>
  <si>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</si>
  <si>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</si>
  <si>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</si>
  <si>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</si>
  <si>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</si>
  <si>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</si>
  <si>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</si>
  <si>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</si>
  <si>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</si>
  <si>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</si>
  <si>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</si>
  <si>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</si>
  <si>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</si>
  <si>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</si>
  <si>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</si>
  <si>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</si>
  <si>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</si>
  <si>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</si>
  <si>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</si>
  <si>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</si>
  <si>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</si>
  <si>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</si>
  <si>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</si>
  <si>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</si>
  <si>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</si>
  <si>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</si>
  <si>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</si>
  <si>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</si>
  <si>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</si>
  <si>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</si>
  <si>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</si>
  <si>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</si>
  <si>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</si>
  <si>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</si>
  <si>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</si>
  <si>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</si>
  <si>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</si>
  <si>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</si>
  <si>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</si>
  <si>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</si>
  <si>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</si>
  <si>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</si>
  <si>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</si>
  <si>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</si>
  <si>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</si>
  <si>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</si>
  <si>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</si>
  <si>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</si>
  <si>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</si>
  <si>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</si>
  <si>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</si>
  <si>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</si>
  <si>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</si>
  <si>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</si>
  <si>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</si>
  <si>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</si>
  <si>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</si>
  <si>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</si>
  <si>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</si>
  <si>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</si>
  <si>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</si>
  <si>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</si>
  <si>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</si>
  <si>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</si>
  <si>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</si>
  <si>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</si>
  <si>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</si>
  <si>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</si>
  <si>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</si>
  <si>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</si>
  <si>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</si>
  <si>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</si>
  <si>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</si>
  <si>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</si>
  <si>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</si>
  <si>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</si>
  <si>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</si>
  <si>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</si>
  <si>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</si>
  <si>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</si>
  <si>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</si>
  <si>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</si>
  <si>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</si>
  <si>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</si>
  <si>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</si>
  <si>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</si>
  <si>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</si>
  <si>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</si>
  <si>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</si>
  <si>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</si>
  <si>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</si>
  <si>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</si>
  <si>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</si>
  <si>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</si>
  <si>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</si>
  <si>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</si>
  <si>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</si>
  <si>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</si>
  <si>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</si>
  <si>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</si>
  <si>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</si>
  <si>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</si>
  <si>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</si>
  <si>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</si>
  <si>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</si>
  <si>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</si>
  <si>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</si>
  <si>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</si>
  <si>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</si>
  <si>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</si>
  <si>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</si>
  <si>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</si>
  <si>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</si>
  <si>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</si>
  <si>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</si>
  <si>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</si>
  <si>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</si>
  <si>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</si>
  <si>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</si>
  <si>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</si>
  <si>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</si>
  <si>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</si>
  <si>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</si>
  <si>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</si>
  <si>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</si>
  <si>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</si>
  <si>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</si>
  <si>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</si>
  <si>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</si>
  <si>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</si>
  <si>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</si>
  <si>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</si>
  <si>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</si>
  <si>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</si>
  <si>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</si>
  <si>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</si>
  <si>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</si>
  <si>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</si>
  <si>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</si>
  <si>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</si>
  <si>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</si>
  <si>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</si>
  <si>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</si>
  <si>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</si>
  <si>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</si>
  <si>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</si>
  <si>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</si>
  <si>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</si>
  <si>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</si>
  <si>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</si>
  <si>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</si>
  <si>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</si>
  <si>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</si>
  <si>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</si>
  <si>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</si>
  <si>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</si>
  <si>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</si>
  <si>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</si>
  <si>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</si>
  <si>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</si>
  <si>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</si>
  <si>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</si>
  <si>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</si>
  <si>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</si>
  <si>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</si>
  <si>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</si>
  <si>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</si>
  <si>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</si>
  <si>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</si>
  <si>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</si>
  <si>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</si>
  <si>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</si>
  <si>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</si>
  <si>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</si>
  <si>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</si>
  <si>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</si>
  <si>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</si>
  <si>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Rage</t>
  </si>
  <si>
    <t>Average of Job Satisfaction</t>
  </si>
  <si>
    <t>Rating</t>
  </si>
  <si>
    <t>Balance Rating</t>
  </si>
  <si>
    <t>Row Labels</t>
  </si>
  <si>
    <t>Grand Total</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</si>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</sst>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9" tint="-0.499984740745262"/>
        <bgColor indexed="64"/>
      </patternFill>
    </fill>
  </fills>
  <borders count="8">
    <border>
      <left/>
      <right/>
      <top/>
      <bottom/>
      <diagonal/>
    </border>
    <border>
      <left style="thin">
        <color rgb="FFABABAB"/>
      </left>
      <right/>
      <top style="thin">
        <color rgb="FFABABAB"/>
      </top>
      <bottom/>
      <diagonal/>
    </border>
    <border>
      <left style="thin">
        <color rgb="FFABABAB"/>
      </left>
      <right/>
      <top style="thin">
        <color indexed="65"/>
      </top>
      <bottom/>
      <diagonal/>
    </border>
    <border>
      <left/>
      <right/>
      <top style="thin">
        <color theme="7" tint="0.79998168889431442"/>
      </top>
      <bottom style="thin">
        <color theme="7" tint="0.79998168889431442"/>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0" fontId="1" fillId="0" borderId="0" xfId="0" applyFont="1"/>
    <xf numFmtId="10"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3" xfId="0" applyBorder="1" applyAlignment="1">
      <alignment horizontal="left"/>
    </xf>
    <xf numFmtId="0" fontId="0" fillId="0" borderId="3" xfId="0" applyBorder="1"/>
    <xf numFmtId="9" fontId="0" fillId="0" borderId="0" xfId="1" applyFont="1"/>
    <xf numFmtId="0" fontId="0" fillId="0" borderId="1" xfId="0" pivotButton="1" applyBorder="1"/>
    <xf numFmtId="0" fontId="0" fillId="0" borderId="4" xfId="0" applyBorder="1"/>
    <xf numFmtId="0" fontId="0" fillId="0" borderId="1" xfId="0" applyBorder="1" applyAlignment="1">
      <alignment horizontal="left"/>
    </xf>
    <xf numFmtId="0" fontId="0" fillId="0" borderId="2" xfId="0" applyBorder="1" applyAlignment="1">
      <alignment horizontal="left"/>
    </xf>
    <xf numFmtId="0" fontId="0" fillId="0" borderId="5" xfId="0" applyBorder="1"/>
    <xf numFmtId="0" fontId="0" fillId="0" borderId="7" xfId="0" applyBorder="1" applyAlignment="1">
      <alignment horizontal="left"/>
    </xf>
    <xf numFmtId="0" fontId="0" fillId="2" borderId="0" xfId="0" applyFill="1"/>
    <xf numFmtId="0" fontId="0" fillId="0" borderId="0" xfId="0" applyNumberFormat="1"/>
    <xf numFmtId="0" fontId="0" fillId="0" borderId="4" xfId="0" applyNumberFormat="1" applyBorder="1"/>
    <xf numFmtId="0" fontId="0" fillId="0" borderId="5" xfId="0" applyNumberFormat="1" applyBorder="1"/>
    <xf numFmtId="0" fontId="0" fillId="0" borderId="6" xfId="0" applyNumberFormat="1" applyBorder="1"/>
  </cellXfs>
  <cellStyles count="2">
    <cellStyle name="Normal" xfId="0" builtinId="0"/>
    <cellStyle name="Percent" xfId="1" builtinId="5"/>
  </cellStyles>
  <dxfs count="8">
    <dxf>
      <numFmt numFmtId="164" formatCode="0.0"/>
    </dxf>
    <dxf>
      <numFmt numFmtId="164" formatCode="0.0"/>
    </dxf>
    <dxf>
      <numFmt numFmtId="164" formatCode="0.0"/>
    </dxf>
    <dxf>
      <font>
        <b/>
        <i val="0"/>
        <sz val="11"/>
        <color theme="3" tint="-0.24994659260841701"/>
        <name val="Calibri"/>
        <family val="2"/>
        <scheme val="minor"/>
      </font>
      <fill>
        <patternFill patternType="none">
          <bgColor auto="1"/>
        </patternFill>
      </fill>
      <border>
        <bottom style="thick">
          <color theme="3"/>
        </bottom>
        <vertical/>
        <horizontal/>
      </border>
    </dxf>
    <dxf>
      <font>
        <color theme="1"/>
      </font>
      <fill>
        <patternFill patternType="none">
          <bgColor auto="1"/>
        </patternFill>
      </fill>
      <border diagonalUp="0" diagonalDown="0">
        <left/>
        <right/>
        <top/>
        <bottom/>
        <vertical/>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7"/>
      <tableStyleElement type="firstRowStripe" dxfId="6"/>
      <tableStyleElement type="secondRowStripe" dxfId="5"/>
    </tableStyle>
    <tableStyle name="slicer-HR" pivot="0" table="0" count="10" xr9:uid="{FBEAC4FF-0A02-4AAD-8BE5-7D6FE51F57AD}">
      <tableStyleElement type="wholeTable" dxfId="4"/>
      <tableStyleElement type="headerRow" dxfId="3"/>
    </tableStyle>
  </tableStyles>
  <colors>
    <mruColors>
      <color rgb="FF7D0541"/>
      <color rgb="FFC9075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1"/>
            <color theme="3" tint="-0.499984740745262"/>
            <name val="Calibri"/>
            <family val="2"/>
            <scheme val="minor"/>
          </font>
          <fill>
            <gradientFill degree="45">
              <stop position="0">
                <color theme="3" tint="0.59999389629810485"/>
              </stop>
              <stop position="1">
                <color theme="3" tint="0.40000610370189521"/>
              </stop>
            </gradient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b/>
            <i val="0"/>
            <sz val="10"/>
            <color theme="0"/>
            <name val="Calibri"/>
            <family val="2"/>
            <scheme val="minor"/>
          </font>
          <fill>
            <gradientFill degree="45">
              <stop position="0">
                <color theme="3"/>
              </stop>
              <stop position="1">
                <color theme="5" tint="-0.49803155613879818"/>
              </stop>
            </gradientFill>
          </fill>
          <border>
            <left style="thin">
              <color theme="3"/>
            </left>
            <right style="thin">
              <color theme="3"/>
            </right>
            <top style="thin">
              <color theme="3"/>
            </top>
            <bottom style="thin">
              <color theme="3"/>
            </bottom>
            <vertical/>
            <horizontal/>
          </border>
        </dxf>
        <dxf>
          <font>
            <b/>
            <i val="0"/>
            <sz val="11"/>
            <color theme="3" tint="-0.499984740745262"/>
            <name val="Calibri"/>
            <family val="2"/>
            <scheme val="minor"/>
          </font>
          <fill>
            <gradientFill degree="45">
              <stop position="0">
                <color theme="3" tint="0.80001220740379042"/>
              </stop>
              <stop position="1">
                <color theme="3" tint="0.59999389629810485"/>
              </stop>
            </gradientFill>
          </fill>
          <border>
            <left style="thin">
              <color theme="3" tint="0.59996337778862885"/>
            </left>
            <right style="thin">
              <color theme="3" tint="0.59996337778862885"/>
            </right>
            <top style="thin">
              <color theme="3" tint="0.59996337778862885"/>
            </top>
            <bottom style="thin">
              <color theme="3" tint="0.59996337778862885"/>
            </bottom>
            <vertical/>
            <horizontal/>
          </border>
        </dxf>
        <dxf>
          <font>
            <b/>
            <i val="0"/>
            <sz val="11"/>
            <color theme="3" tint="-0.499984740745262"/>
            <name val="Calibri"/>
            <family val="2"/>
            <scheme val="minor"/>
          </font>
          <fill>
            <gradientFill degree="45">
              <stop position="0">
                <color theme="3" tint="0.59999389629810485"/>
              </stop>
              <stop position="1">
                <color theme="3" tint="0.40000610370189521"/>
              </stop>
            </gradientFill>
          </fill>
          <border>
            <left style="thin">
              <color theme="3" tint="0.39994506668294322"/>
            </left>
            <right style="thin">
              <color theme="3" tint="0.39994506668294322"/>
            </right>
            <top style="thin">
              <color theme="3" tint="0.39994506668294322"/>
            </top>
            <bottom style="thin">
              <color theme="3" tint="0.39994506668294322"/>
            </bottom>
            <vertical/>
            <horizontal/>
          </border>
        </dxf>
      </x14:dxfs>
    </ext>
    <ext xmlns:x14="http://schemas.microsoft.com/office/spreadsheetml/2009/9/main" uri="{EB79DEF2-80B8-43e5-95BD-54CBDDF9020C}">
      <x14:slicerStyles defaultSlicerStyle="SlicerStyleLight1">
        <x14:slicerStyle name="slicer-H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B0-4867-AC9D-E84666A2FD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B0-4867-AC9D-E84666A2FD42}"/>
              </c:ext>
            </c:extLst>
          </c:dPt>
          <c:val>
            <c:numRef>
              <c:f>Rating!$C$8:$C$9</c:f>
              <c:numCache>
                <c:formatCode>General</c:formatCode>
                <c:ptCount val="2"/>
                <c:pt idx="0">
                  <c:v>0.65663265306122454</c:v>
                </c:pt>
                <c:pt idx="1">
                  <c:v>0.34336734693877546</c:v>
                </c:pt>
              </c:numCache>
            </c:numRef>
          </c:val>
          <c:extLst>
            <c:ext xmlns:c16="http://schemas.microsoft.com/office/drawing/2014/chart" uri="{C3380CC4-5D6E-409C-BE32-E72D297353CC}">
              <c16:uniqueId val="{00000000-640A-4A2A-97B8-E59EB84E8F2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Rating!$B$8</c:f>
              <c:numCache>
                <c:formatCode>0.0</c:formatCode>
                <c:ptCount val="1"/>
                <c:pt idx="0">
                  <c:v>2.6265306122448981</c:v>
                </c:pt>
              </c:numCache>
            </c:numRef>
          </c:val>
          <c:extLst>
            <c:ext xmlns:c16="http://schemas.microsoft.com/office/drawing/2014/chart" uri="{C3380CC4-5D6E-409C-BE32-E72D297353CC}">
              <c16:uniqueId val="{00000000-FA96-4492-8CAC-89A20D824193}"/>
            </c:ext>
          </c:extLst>
        </c:ser>
        <c:ser>
          <c:idx val="1"/>
          <c:order val="1"/>
          <c:spPr>
            <a:solidFill>
              <a:schemeClr val="accent2"/>
            </a:solidFill>
            <a:ln>
              <a:noFill/>
            </a:ln>
            <a:effectLst/>
          </c:spPr>
          <c:invertIfNegative val="0"/>
          <c:val>
            <c:numRef>
              <c:f>Rating!$B$9</c:f>
              <c:numCache>
                <c:formatCode>0.0</c:formatCode>
                <c:ptCount val="1"/>
                <c:pt idx="0">
                  <c:v>1.3734693877551019</c:v>
                </c:pt>
              </c:numCache>
            </c:numRef>
          </c:val>
          <c:extLst>
            <c:ext xmlns:c16="http://schemas.microsoft.com/office/drawing/2014/chart" uri="{C3380CC4-5D6E-409C-BE32-E72D297353CC}">
              <c16:uniqueId val="{00000001-FA96-4492-8CAC-89A20D824193}"/>
            </c:ext>
          </c:extLst>
        </c:ser>
        <c:dLbls>
          <c:showLegendKey val="0"/>
          <c:showVal val="0"/>
          <c:showCatName val="0"/>
          <c:showSerName val="0"/>
          <c:showPercent val="0"/>
          <c:showBubbleSize val="0"/>
        </c:dLbls>
        <c:gapWidth val="0"/>
        <c:overlap val="100"/>
        <c:axId val="1069465744"/>
        <c:axId val="1069466704"/>
      </c:barChart>
      <c:catAx>
        <c:axId val="1069465744"/>
        <c:scaling>
          <c:orientation val="minMax"/>
        </c:scaling>
        <c:delete val="1"/>
        <c:axPos val="l"/>
        <c:majorTickMark val="out"/>
        <c:minorTickMark val="none"/>
        <c:tickLblPos val="nextTo"/>
        <c:crossAx val="1069466704"/>
        <c:crosses val="autoZero"/>
        <c:auto val="1"/>
        <c:lblAlgn val="ctr"/>
        <c:lblOffset val="100"/>
        <c:noMultiLvlLbl val="0"/>
      </c:catAx>
      <c:valAx>
        <c:axId val="1069466704"/>
        <c:scaling>
          <c:orientation val="minMax"/>
          <c:max val="4"/>
        </c:scaling>
        <c:delete val="1"/>
        <c:axPos val="b"/>
        <c:numFmt formatCode="0.0" sourceLinked="1"/>
        <c:majorTickMark val="out"/>
        <c:minorTickMark val="none"/>
        <c:tickLblPos val="nextTo"/>
        <c:crossAx val="106946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3">
                <a:lumMod val="75000"/>
              </a:schemeClr>
            </a:solidFill>
            <a:ln>
              <a:noFill/>
            </a:ln>
            <a:effectLst/>
          </c:spPr>
          <c:invertIfNegative val="0"/>
          <c:val>
            <c:numRef>
              <c:f>Rating!$B$8</c:f>
              <c:numCache>
                <c:formatCode>0.0</c:formatCode>
                <c:ptCount val="1"/>
                <c:pt idx="0">
                  <c:v>2.6265306122448981</c:v>
                </c:pt>
              </c:numCache>
            </c:numRef>
          </c:val>
          <c:extLst>
            <c:ext xmlns:c16="http://schemas.microsoft.com/office/drawing/2014/chart" uri="{C3380CC4-5D6E-409C-BE32-E72D297353CC}">
              <c16:uniqueId val="{00000000-FA96-4492-8CAC-89A20D824193}"/>
            </c:ext>
          </c:extLst>
        </c:ser>
        <c:ser>
          <c:idx val="1"/>
          <c:order val="1"/>
          <c:spPr>
            <a:solidFill>
              <a:schemeClr val="bg1"/>
            </a:solidFill>
            <a:ln>
              <a:noFill/>
            </a:ln>
            <a:effectLst/>
          </c:spPr>
          <c:invertIfNegative val="0"/>
          <c:val>
            <c:numRef>
              <c:f>Rating!$B$9</c:f>
              <c:numCache>
                <c:formatCode>0.0</c:formatCode>
                <c:ptCount val="1"/>
                <c:pt idx="0">
                  <c:v>1.3734693877551019</c:v>
                </c:pt>
              </c:numCache>
            </c:numRef>
          </c:val>
          <c:extLst>
            <c:ext xmlns:c16="http://schemas.microsoft.com/office/drawing/2014/chart" uri="{C3380CC4-5D6E-409C-BE32-E72D297353CC}">
              <c16:uniqueId val="{00000001-FA96-4492-8CAC-89A20D824193}"/>
            </c:ext>
          </c:extLst>
        </c:ser>
        <c:dLbls>
          <c:showLegendKey val="0"/>
          <c:showVal val="0"/>
          <c:showCatName val="0"/>
          <c:showSerName val="0"/>
          <c:showPercent val="0"/>
          <c:showBubbleSize val="0"/>
        </c:dLbls>
        <c:gapWidth val="0"/>
        <c:overlap val="100"/>
        <c:axId val="1069465744"/>
        <c:axId val="1069466704"/>
      </c:barChart>
      <c:catAx>
        <c:axId val="1069465744"/>
        <c:scaling>
          <c:orientation val="minMax"/>
        </c:scaling>
        <c:delete val="1"/>
        <c:axPos val="l"/>
        <c:majorTickMark val="out"/>
        <c:minorTickMark val="none"/>
        <c:tickLblPos val="nextTo"/>
        <c:crossAx val="1069466704"/>
        <c:crosses val="autoZero"/>
        <c:auto val="1"/>
        <c:lblAlgn val="ctr"/>
        <c:lblOffset val="100"/>
        <c:noMultiLvlLbl val="0"/>
      </c:catAx>
      <c:valAx>
        <c:axId val="1069466704"/>
        <c:scaling>
          <c:orientation val="minMax"/>
          <c:max val="4"/>
        </c:scaling>
        <c:delete val="1"/>
        <c:axPos val="b"/>
        <c:numFmt formatCode="0.0" sourceLinked="1"/>
        <c:majorTickMark val="out"/>
        <c:minorTickMark val="none"/>
        <c:tickLblPos val="nextTo"/>
        <c:crossAx val="106946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263434175991159E-2"/>
          <c:y val="3.6036036036036036E-2"/>
          <c:w val="0.89649122807017545"/>
          <c:h val="0.92072072072072075"/>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67-491C-BE54-02F90C00FD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67-491C-BE54-02F90C00FD01}"/>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22F5-44F0-85C1-87665A5E8D1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[HR_Analysis_Dashboard.xlsx]Education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DAE-4838-8695-54D8F6E9D7B6}"/>
            </c:ext>
          </c:extLst>
        </c:ser>
        <c:dLbls>
          <c:dLblPos val="outEnd"/>
          <c:showLegendKey val="0"/>
          <c:showVal val="1"/>
          <c:showCatName val="0"/>
          <c:showSerName val="0"/>
          <c:showPercent val="0"/>
          <c:showBubbleSize val="0"/>
        </c:dLbls>
        <c:gapWidth val="182"/>
        <c:axId val="446042864"/>
        <c:axId val="446043824"/>
      </c:barChart>
      <c:catAx>
        <c:axId val="44604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043824"/>
        <c:crosses val="autoZero"/>
        <c:auto val="1"/>
        <c:lblAlgn val="ctr"/>
        <c:lblOffset val="100"/>
        <c:noMultiLvlLbl val="0"/>
      </c:catAx>
      <c:valAx>
        <c:axId val="446043824"/>
        <c:scaling>
          <c:orientation val="minMax"/>
        </c:scaling>
        <c:delete val="1"/>
        <c:axPos val="b"/>
        <c:numFmt formatCode="General" sourceLinked="1"/>
        <c:majorTickMark val="none"/>
        <c:minorTickMark val="none"/>
        <c:tickLblPos val="nextTo"/>
        <c:crossAx val="44604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[HR_Analysis_Dashboard.xlsx]Dept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F4-400C-92B7-CFB1467561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F4-400C-92B7-CFB1467561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F4-400C-92B7-CFB146756175}"/>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67D0-424A-9AC5-BF74BB0053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[HR_Analysis_Dashboard.xlsx]Attrition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DB15-4D82-ACB3-F520F74BFC19}"/>
            </c:ext>
          </c:extLst>
        </c:ser>
        <c:dLbls>
          <c:showLegendKey val="0"/>
          <c:showVal val="0"/>
          <c:showCatName val="0"/>
          <c:showSerName val="0"/>
          <c:showPercent val="0"/>
          <c:showBubbleSize val="0"/>
        </c:dLbls>
        <c:gapWidth val="219"/>
        <c:overlap val="-27"/>
        <c:axId val="1766634944"/>
        <c:axId val="1766631104"/>
      </c:barChart>
      <c:catAx>
        <c:axId val="176663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31104"/>
        <c:crosses val="autoZero"/>
        <c:auto val="1"/>
        <c:lblAlgn val="ctr"/>
        <c:lblOffset val="100"/>
        <c:noMultiLvlLbl val="0"/>
      </c:catAx>
      <c:valAx>
        <c:axId val="1766631104"/>
        <c:scaling>
          <c:orientation val="minMax"/>
        </c:scaling>
        <c:delete val="1"/>
        <c:axPos val="l"/>
        <c:numFmt formatCode="General" sourceLinked="1"/>
        <c:majorTickMark val="none"/>
        <c:minorTickMark val="none"/>
        <c:tickLblPos val="nextTo"/>
        <c:crossAx val="176663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71934074062499"/>
          <c:y val="4.8000060472517134E-2"/>
          <c:w val="0.74755199949992979"/>
          <c:h val="0.90399987905496593"/>
        </c:manualLayout>
      </c:layout>
      <c:doughnutChart>
        <c:varyColors val="1"/>
        <c:ser>
          <c:idx val="0"/>
          <c:order val="0"/>
          <c:dPt>
            <c:idx val="0"/>
            <c:bubble3D val="0"/>
            <c:spPr>
              <a:gradFill>
                <a:gsLst>
                  <a:gs pos="0">
                    <a:schemeClr val="accent4">
                      <a:lumMod val="50000"/>
                    </a:schemeClr>
                  </a:gs>
                  <a:gs pos="100000">
                    <a:schemeClr val="accent3">
                      <a:lumMod val="50000"/>
                    </a:schemeClr>
                  </a:gs>
                </a:gsLst>
                <a:lin ang="5400000" scaled="1"/>
              </a:gradFill>
              <a:ln w="19050">
                <a:solidFill>
                  <a:schemeClr val="lt1"/>
                </a:solidFill>
              </a:ln>
              <a:effectLst/>
            </c:spPr>
            <c:extLst>
              <c:ext xmlns:c16="http://schemas.microsoft.com/office/drawing/2014/chart" uri="{C3380CC4-5D6E-409C-BE32-E72D297353CC}">
                <c16:uniqueId val="{00000001-4C29-4DEE-8791-EB452DDEAAC2}"/>
              </c:ext>
            </c:extLst>
          </c:dPt>
          <c:dPt>
            <c:idx val="1"/>
            <c:bubble3D val="0"/>
            <c:spPr>
              <a:noFill/>
              <a:ln w="19050">
                <a:noFill/>
              </a:ln>
              <a:effectLst/>
            </c:spPr>
            <c:extLst>
              <c:ext xmlns:c16="http://schemas.microsoft.com/office/drawing/2014/chart" uri="{C3380CC4-5D6E-409C-BE32-E72D297353CC}">
                <c16:uniqueId val="{00000003-4C29-4DEE-8791-EB452DDEAAC2}"/>
              </c:ext>
            </c:extLst>
          </c:dPt>
          <c:val>
            <c:numRef>
              <c:f>Rating!$C$8:$C$9</c:f>
              <c:numCache>
                <c:formatCode>General</c:formatCode>
                <c:ptCount val="2"/>
                <c:pt idx="0">
                  <c:v>0.65663265306122454</c:v>
                </c:pt>
                <c:pt idx="1">
                  <c:v>0.34336734693877546</c:v>
                </c:pt>
              </c:numCache>
            </c:numRef>
          </c:val>
          <c:extLst>
            <c:ext xmlns:c16="http://schemas.microsoft.com/office/drawing/2014/chart" uri="{C3380CC4-5D6E-409C-BE32-E72D297353CC}">
              <c16:uniqueId val="{00000004-4C29-4DEE-8791-EB452DDEAAC2}"/>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3">
                <a:lumMod val="75000"/>
              </a:schemeClr>
            </a:solidFill>
            <a:ln>
              <a:noFill/>
            </a:ln>
            <a:effectLst/>
          </c:spPr>
          <c:invertIfNegative val="0"/>
          <c:val>
            <c:numRef>
              <c:f>Rating!$B$8</c:f>
              <c:numCache>
                <c:formatCode>0.0</c:formatCode>
                <c:ptCount val="1"/>
                <c:pt idx="0">
                  <c:v>2.6265306122448981</c:v>
                </c:pt>
              </c:numCache>
            </c:numRef>
          </c:val>
          <c:extLst>
            <c:ext xmlns:c16="http://schemas.microsoft.com/office/drawing/2014/chart" uri="{C3380CC4-5D6E-409C-BE32-E72D297353CC}">
              <c16:uniqueId val="{00000000-516E-4B48-9D1A-6B383698C675}"/>
            </c:ext>
          </c:extLst>
        </c:ser>
        <c:ser>
          <c:idx val="1"/>
          <c:order val="1"/>
          <c:spPr>
            <a:solidFill>
              <a:schemeClr val="bg1"/>
            </a:solidFill>
            <a:ln>
              <a:noFill/>
            </a:ln>
            <a:effectLst/>
          </c:spPr>
          <c:invertIfNegative val="0"/>
          <c:val>
            <c:numRef>
              <c:f>Rating!$B$9</c:f>
              <c:numCache>
                <c:formatCode>0.0</c:formatCode>
                <c:ptCount val="1"/>
                <c:pt idx="0">
                  <c:v>1.3734693877551019</c:v>
                </c:pt>
              </c:numCache>
            </c:numRef>
          </c:val>
          <c:extLst>
            <c:ext xmlns:c16="http://schemas.microsoft.com/office/drawing/2014/chart" uri="{C3380CC4-5D6E-409C-BE32-E72D297353CC}">
              <c16:uniqueId val="{00000001-516E-4B48-9D1A-6B383698C675}"/>
            </c:ext>
          </c:extLst>
        </c:ser>
        <c:dLbls>
          <c:showLegendKey val="0"/>
          <c:showVal val="0"/>
          <c:showCatName val="0"/>
          <c:showSerName val="0"/>
          <c:showPercent val="0"/>
          <c:showBubbleSize val="0"/>
        </c:dLbls>
        <c:gapWidth val="0"/>
        <c:overlap val="100"/>
        <c:axId val="1069465744"/>
        <c:axId val="1069466704"/>
      </c:barChart>
      <c:catAx>
        <c:axId val="1069465744"/>
        <c:scaling>
          <c:orientation val="minMax"/>
        </c:scaling>
        <c:delete val="1"/>
        <c:axPos val="l"/>
        <c:majorTickMark val="out"/>
        <c:minorTickMark val="none"/>
        <c:tickLblPos val="nextTo"/>
        <c:crossAx val="1069466704"/>
        <c:crosses val="autoZero"/>
        <c:auto val="1"/>
        <c:lblAlgn val="ctr"/>
        <c:lblOffset val="100"/>
        <c:noMultiLvlLbl val="0"/>
      </c:catAx>
      <c:valAx>
        <c:axId val="1069466704"/>
        <c:scaling>
          <c:orientation val="minMax"/>
          <c:max val="4"/>
        </c:scaling>
        <c:delete val="1"/>
        <c:axPos val="b"/>
        <c:numFmt formatCode="0.0" sourceLinked="1"/>
        <c:majorTickMark val="out"/>
        <c:minorTickMark val="none"/>
        <c:tickLblPos val="nextTo"/>
        <c:crossAx val="106946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263434175991159E-2"/>
          <c:y val="3.6036036036036036E-2"/>
          <c:w val="0.89649122807017545"/>
          <c:h val="0.92072072072072075"/>
        </c:manualLayout>
      </c:layout>
      <c:doughnutChart>
        <c:varyColors val="1"/>
        <c:ser>
          <c:idx val="0"/>
          <c:order val="0"/>
          <c:spPr>
            <a:ln>
              <a:noFill/>
            </a:ln>
          </c:spPr>
          <c:dPt>
            <c:idx val="0"/>
            <c:bubble3D val="0"/>
            <c:spPr>
              <a:gradFill>
                <a:gsLst>
                  <a:gs pos="0">
                    <a:srgbClr val="7D0541"/>
                  </a:gs>
                  <a:gs pos="100000">
                    <a:srgbClr val="C90756"/>
                  </a:gs>
                </a:gsLst>
                <a:lin ang="10800000" scaled="0"/>
              </a:gradFill>
              <a:ln w="19050">
                <a:noFill/>
              </a:ln>
              <a:effectLst/>
            </c:spPr>
            <c:extLst>
              <c:ext xmlns:c16="http://schemas.microsoft.com/office/drawing/2014/chart" uri="{C3380CC4-5D6E-409C-BE32-E72D297353CC}">
                <c16:uniqueId val="{00000001-F4DF-4D5A-B52F-B650F8C6043B}"/>
              </c:ext>
            </c:extLst>
          </c:dPt>
          <c:dPt>
            <c:idx val="1"/>
            <c:bubble3D val="0"/>
            <c:spPr>
              <a:solidFill>
                <a:schemeClr val="accent2">
                  <a:lumMod val="20000"/>
                  <a:lumOff val="80000"/>
                </a:schemeClr>
              </a:solidFill>
              <a:ln w="19050">
                <a:noFill/>
              </a:ln>
              <a:effectLst/>
            </c:spPr>
            <c:extLst>
              <c:ext xmlns:c16="http://schemas.microsoft.com/office/drawing/2014/chart" uri="{C3380CC4-5D6E-409C-BE32-E72D297353CC}">
                <c16:uniqueId val="{00000003-F4DF-4D5A-B52F-B650F8C6043B}"/>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F4DF-4D5A-B52F-B650F8C6043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263434175991159E-2"/>
          <c:y val="3.6036036036036036E-2"/>
          <c:w val="0.89649122807017545"/>
          <c:h val="0.92072072072072075"/>
        </c:manualLayout>
      </c:layout>
      <c:doughnutChart>
        <c:varyColors val="1"/>
        <c:ser>
          <c:idx val="0"/>
          <c:order val="0"/>
          <c:spPr>
            <a:ln>
              <a:noFill/>
            </a:ln>
          </c:spPr>
          <c:dPt>
            <c:idx val="0"/>
            <c:bubble3D val="0"/>
            <c:spPr>
              <a:solidFill>
                <a:schemeClr val="accent2">
                  <a:lumMod val="20000"/>
                  <a:lumOff val="80000"/>
                </a:schemeClr>
              </a:solidFill>
              <a:ln w="19050">
                <a:noFill/>
              </a:ln>
              <a:effectLst/>
            </c:spPr>
            <c:extLst>
              <c:ext xmlns:c16="http://schemas.microsoft.com/office/drawing/2014/chart" uri="{C3380CC4-5D6E-409C-BE32-E72D297353CC}">
                <c16:uniqueId val="{00000001-F4DF-4D5A-B52F-B650F8C6043B}"/>
              </c:ext>
            </c:extLst>
          </c:dPt>
          <c:dPt>
            <c:idx val="1"/>
            <c:bubble3D val="0"/>
            <c:spPr>
              <a:gradFill>
                <a:gsLst>
                  <a:gs pos="0">
                    <a:schemeClr val="accent2">
                      <a:lumMod val="50000"/>
                    </a:schemeClr>
                  </a:gs>
                  <a:gs pos="100000">
                    <a:schemeClr val="accent1">
                      <a:lumMod val="75000"/>
                    </a:schemeClr>
                  </a:gs>
                </a:gsLst>
                <a:lin ang="10800000" scaled="0"/>
              </a:gradFill>
              <a:ln w="19050">
                <a:noFill/>
              </a:ln>
              <a:effectLst/>
            </c:spPr>
            <c:extLst>
              <c:ext xmlns:c16="http://schemas.microsoft.com/office/drawing/2014/chart" uri="{C3380CC4-5D6E-409C-BE32-E72D297353CC}">
                <c16:uniqueId val="{00000003-F4DF-4D5A-B52F-B650F8C6043B}"/>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F4DF-4D5A-B52F-B650F8C6043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[HR_Analysis_Dashboard.xlsx]Education by Attrition!Education by 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3">
                  <a:lumMod val="75000"/>
                </a:schemeClr>
              </a:gs>
              <a:gs pos="100000">
                <a:schemeClr val="accent6">
                  <a:lumMod val="50000"/>
                </a:schemeClr>
              </a:gs>
            </a:gsLst>
            <a:lin ang="8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3">
                    <a:lumMod val="75000"/>
                  </a:schemeClr>
                </a:gs>
                <a:gs pos="100000">
                  <a:schemeClr val="accent6">
                    <a:lumMod val="50000"/>
                  </a:schemeClr>
                </a:gs>
              </a:gsLst>
              <a:lin ang="8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ADA-4071-857B-0E06E1483DA6}"/>
            </c:ext>
          </c:extLst>
        </c:ser>
        <c:dLbls>
          <c:dLblPos val="outEnd"/>
          <c:showLegendKey val="0"/>
          <c:showVal val="1"/>
          <c:showCatName val="0"/>
          <c:showSerName val="0"/>
          <c:showPercent val="0"/>
          <c:showBubbleSize val="0"/>
        </c:dLbls>
        <c:gapWidth val="75"/>
        <c:axId val="446042864"/>
        <c:axId val="446043824"/>
      </c:barChart>
      <c:catAx>
        <c:axId val="44604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46043824"/>
        <c:crosses val="autoZero"/>
        <c:auto val="1"/>
        <c:lblAlgn val="ctr"/>
        <c:lblOffset val="100"/>
        <c:noMultiLvlLbl val="0"/>
      </c:catAx>
      <c:valAx>
        <c:axId val="446043824"/>
        <c:scaling>
          <c:orientation val="minMax"/>
        </c:scaling>
        <c:delete val="1"/>
        <c:axPos val="b"/>
        <c:numFmt formatCode="General" sourceLinked="1"/>
        <c:majorTickMark val="none"/>
        <c:minorTickMark val="none"/>
        <c:tickLblPos val="nextTo"/>
        <c:crossAx val="44604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[HR_Analysis_Dashboard.xlsx]Dept wise Attrition!Dept wise Attrition</c:name>
    <c:fmtId val="4"/>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2700">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75000"/>
                </a:schemeClr>
              </a:gs>
              <a:gs pos="100000">
                <a:schemeClr val="accent1">
                  <a:lumMod val="50000"/>
                </a:schemeClr>
              </a:gs>
            </a:gsLst>
            <a:lin ang="10800000" scaled="0"/>
          </a:gradFill>
          <a:ln w="12700">
            <a:solidFill>
              <a:schemeClr val="bg2">
                <a:lumMod val="90000"/>
              </a:schemeClr>
            </a:solidFill>
          </a:ln>
          <a:effectLst/>
        </c:spPr>
      </c:pivotFmt>
      <c:pivotFmt>
        <c:idx val="7"/>
        <c:spPr>
          <a:gradFill>
            <a:gsLst>
              <a:gs pos="0">
                <a:schemeClr val="accent3">
                  <a:lumMod val="75000"/>
                </a:schemeClr>
              </a:gs>
              <a:gs pos="100000">
                <a:schemeClr val="accent3">
                  <a:lumMod val="50000"/>
                </a:schemeClr>
              </a:gs>
            </a:gsLst>
            <a:lin ang="10800000" scaled="0"/>
          </a:gradFill>
          <a:ln w="12700">
            <a:solidFill>
              <a:schemeClr val="bg2">
                <a:lumMod val="9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3">
                  <a:lumMod val="50000"/>
                </a:schemeClr>
              </a:gs>
              <a:gs pos="0">
                <a:schemeClr val="accent6">
                  <a:lumMod val="50000"/>
                </a:schemeClr>
              </a:gs>
            </a:gsLst>
            <a:lin ang="10800000" scaled="0"/>
          </a:gradFill>
          <a:ln w="12700">
            <a:solidFill>
              <a:schemeClr val="bg2">
                <a:lumMod val="90000"/>
              </a:schemeClr>
            </a:solidFill>
          </a:ln>
          <a:effectLst/>
        </c:spPr>
      </c:pivotFmt>
    </c:pivotFmts>
    <c:plotArea>
      <c:layout/>
      <c:pieChart>
        <c:varyColors val="1"/>
        <c:ser>
          <c:idx val="0"/>
          <c:order val="0"/>
          <c:tx>
            <c:strRef>
              <c:f>'Dept wise Attrition'!$B$3</c:f>
              <c:strCache>
                <c:ptCount val="1"/>
                <c:pt idx="0">
                  <c:v>Total</c:v>
                </c:pt>
              </c:strCache>
            </c:strRef>
          </c:tx>
          <c:spPr>
            <a:ln w="12700">
              <a:solidFill>
                <a:schemeClr val="bg2">
                  <a:lumMod val="90000"/>
                </a:schemeClr>
              </a:solidFill>
            </a:ln>
          </c:spPr>
          <c:dPt>
            <c:idx val="0"/>
            <c:bubble3D val="0"/>
            <c:spPr>
              <a:gradFill>
                <a:gsLst>
                  <a:gs pos="0">
                    <a:schemeClr val="accent1">
                      <a:lumMod val="75000"/>
                    </a:schemeClr>
                  </a:gs>
                  <a:gs pos="100000">
                    <a:schemeClr val="accent1">
                      <a:lumMod val="50000"/>
                    </a:schemeClr>
                  </a:gs>
                </a:gsLst>
                <a:lin ang="10800000" scaled="0"/>
              </a:gradFill>
              <a:ln w="12700">
                <a:solidFill>
                  <a:schemeClr val="bg2">
                    <a:lumMod val="90000"/>
                  </a:schemeClr>
                </a:solidFill>
              </a:ln>
              <a:effectLst/>
            </c:spPr>
            <c:extLst>
              <c:ext xmlns:c16="http://schemas.microsoft.com/office/drawing/2014/chart" uri="{C3380CC4-5D6E-409C-BE32-E72D297353CC}">
                <c16:uniqueId val="{00000001-D960-4831-AF14-1D73FEA6472D}"/>
              </c:ext>
            </c:extLst>
          </c:dPt>
          <c:dPt>
            <c:idx val="1"/>
            <c:bubble3D val="0"/>
            <c:spPr>
              <a:gradFill>
                <a:gsLst>
                  <a:gs pos="0">
                    <a:schemeClr val="accent3">
                      <a:lumMod val="75000"/>
                    </a:schemeClr>
                  </a:gs>
                  <a:gs pos="100000">
                    <a:schemeClr val="accent3">
                      <a:lumMod val="50000"/>
                    </a:schemeClr>
                  </a:gs>
                </a:gsLst>
                <a:lin ang="10800000" scaled="0"/>
              </a:gradFill>
              <a:ln w="12700">
                <a:solidFill>
                  <a:schemeClr val="bg2">
                    <a:lumMod val="90000"/>
                  </a:schemeClr>
                </a:solidFill>
              </a:ln>
              <a:effectLst/>
            </c:spPr>
            <c:extLst>
              <c:ext xmlns:c16="http://schemas.microsoft.com/office/drawing/2014/chart" uri="{C3380CC4-5D6E-409C-BE32-E72D297353CC}">
                <c16:uniqueId val="{00000003-D960-4831-AF14-1D73FEA6472D}"/>
              </c:ext>
            </c:extLst>
          </c:dPt>
          <c:dPt>
            <c:idx val="2"/>
            <c:bubble3D val="0"/>
            <c:spPr>
              <a:gradFill>
                <a:gsLst>
                  <a:gs pos="100000">
                    <a:schemeClr val="accent3">
                      <a:lumMod val="50000"/>
                    </a:schemeClr>
                  </a:gs>
                  <a:gs pos="0">
                    <a:schemeClr val="accent6">
                      <a:lumMod val="50000"/>
                    </a:schemeClr>
                  </a:gs>
                </a:gsLst>
                <a:lin ang="10800000" scaled="0"/>
              </a:gradFill>
              <a:ln w="12700">
                <a:solidFill>
                  <a:schemeClr val="bg2">
                    <a:lumMod val="90000"/>
                  </a:schemeClr>
                </a:solidFill>
              </a:ln>
              <a:effectLst/>
            </c:spPr>
            <c:extLst>
              <c:ext xmlns:c16="http://schemas.microsoft.com/office/drawing/2014/chart" uri="{C3380CC4-5D6E-409C-BE32-E72D297353CC}">
                <c16:uniqueId val="{00000005-D960-4831-AF14-1D73FEA6472D}"/>
              </c:ext>
            </c:extLst>
          </c:dPt>
          <c:dLbls>
            <c:dLbl>
              <c:idx val="1"/>
              <c:delete val="1"/>
              <c:extLst>
                <c:ext xmlns:c15="http://schemas.microsoft.com/office/drawing/2012/chart" uri="{CE6537A1-D6FC-4f65-9D91-7224C49458BB}"/>
                <c:ext xmlns:c16="http://schemas.microsoft.com/office/drawing/2014/chart" uri="{C3380CC4-5D6E-409C-BE32-E72D297353CC}">
                  <c16:uniqueId val="{00000003-D960-4831-AF14-1D73FEA647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D960-4831-AF14-1D73FEA6472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[HR_Analysis_Dashboard.xlsx]Attrition by Age Group!Attrition by Age Group</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75000"/>
                </a:schemeClr>
              </a:gs>
              <a:gs pos="100000">
                <a:schemeClr val="accent2">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1">
                    <a:lumMod val="75000"/>
                  </a:schemeClr>
                </a:gs>
                <a:gs pos="100000">
                  <a:schemeClr val="accent2">
                    <a:lumMod val="5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21F8-4897-9DC9-D5F164EDF973}"/>
            </c:ext>
          </c:extLst>
        </c:ser>
        <c:dLbls>
          <c:dLblPos val="outEnd"/>
          <c:showLegendKey val="0"/>
          <c:showVal val="1"/>
          <c:showCatName val="0"/>
          <c:showSerName val="0"/>
          <c:showPercent val="0"/>
          <c:showBubbleSize val="0"/>
        </c:dLbls>
        <c:gapWidth val="65"/>
        <c:axId val="1766634944"/>
        <c:axId val="1766631104"/>
      </c:barChart>
      <c:catAx>
        <c:axId val="176663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66631104"/>
        <c:crosses val="autoZero"/>
        <c:auto val="1"/>
        <c:lblAlgn val="ctr"/>
        <c:lblOffset val="100"/>
        <c:noMultiLvlLbl val="0"/>
      </c:catAx>
      <c:valAx>
        <c:axId val="1766631104"/>
        <c:scaling>
          <c:orientation val="minMax"/>
        </c:scaling>
        <c:delete val="1"/>
        <c:axPos val="l"/>
        <c:numFmt formatCode="General" sourceLinked="1"/>
        <c:majorTickMark val="none"/>
        <c:minorTickMark val="none"/>
        <c:tickLblPos val="nextTo"/>
        <c:crossAx val="176663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71934074062499"/>
          <c:y val="4.8000060472517134E-2"/>
          <c:w val="0.74755199949992979"/>
          <c:h val="0.90399987905496593"/>
        </c:manualLayout>
      </c:layout>
      <c:doughnutChart>
        <c:varyColors val="1"/>
        <c:ser>
          <c:idx val="0"/>
          <c:order val="0"/>
          <c:dPt>
            <c:idx val="0"/>
            <c:bubble3D val="0"/>
            <c:spPr>
              <a:gradFill>
                <a:gsLst>
                  <a:gs pos="0">
                    <a:schemeClr val="accent4">
                      <a:lumMod val="50000"/>
                    </a:schemeClr>
                  </a:gs>
                  <a:gs pos="100000">
                    <a:schemeClr val="accent3">
                      <a:lumMod val="50000"/>
                    </a:schemeClr>
                  </a:gs>
                </a:gsLst>
                <a:lin ang="5400000" scaled="1"/>
              </a:gradFill>
              <a:ln w="19050">
                <a:solidFill>
                  <a:schemeClr val="lt1"/>
                </a:solidFill>
              </a:ln>
              <a:effectLst/>
            </c:spPr>
            <c:extLst>
              <c:ext xmlns:c16="http://schemas.microsoft.com/office/drawing/2014/chart" uri="{C3380CC4-5D6E-409C-BE32-E72D297353CC}">
                <c16:uniqueId val="{00000001-95C0-4A2F-85DF-0E60A692776E}"/>
              </c:ext>
            </c:extLst>
          </c:dPt>
          <c:dPt>
            <c:idx val="1"/>
            <c:bubble3D val="0"/>
            <c:spPr>
              <a:noFill/>
              <a:ln w="19050">
                <a:noFill/>
              </a:ln>
              <a:effectLst/>
            </c:spPr>
            <c:extLst>
              <c:ext xmlns:c16="http://schemas.microsoft.com/office/drawing/2014/chart" uri="{C3380CC4-5D6E-409C-BE32-E72D297353CC}">
                <c16:uniqueId val="{00000003-95C0-4A2F-85DF-0E60A692776E}"/>
              </c:ext>
            </c:extLst>
          </c:dPt>
          <c:val>
            <c:numRef>
              <c:f>Rating!$C$8:$C$9</c:f>
              <c:numCache>
                <c:formatCode>General</c:formatCode>
                <c:ptCount val="2"/>
                <c:pt idx="0">
                  <c:v>0.65663265306122454</c:v>
                </c:pt>
                <c:pt idx="1">
                  <c:v>0.34336734693877546</c:v>
                </c:pt>
              </c:numCache>
            </c:numRef>
          </c:val>
          <c:extLst>
            <c:ext xmlns:c16="http://schemas.microsoft.com/office/drawing/2014/chart" uri="{C3380CC4-5D6E-409C-BE32-E72D297353CC}">
              <c16:uniqueId val="{00000004-95C0-4A2F-85DF-0E60A692776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3">
                <a:lumMod val="75000"/>
              </a:schemeClr>
            </a:solidFill>
            <a:ln>
              <a:noFill/>
            </a:ln>
            <a:effectLst/>
          </c:spPr>
          <c:invertIfNegative val="0"/>
          <c:val>
            <c:numRef>
              <c:f>Rating!$B$8</c:f>
              <c:numCache>
                <c:formatCode>0.0</c:formatCode>
                <c:ptCount val="1"/>
                <c:pt idx="0">
                  <c:v>2.6265306122448981</c:v>
                </c:pt>
              </c:numCache>
            </c:numRef>
          </c:val>
          <c:extLst>
            <c:ext xmlns:c16="http://schemas.microsoft.com/office/drawing/2014/chart" uri="{C3380CC4-5D6E-409C-BE32-E72D297353CC}">
              <c16:uniqueId val="{00000000-441D-4ACD-AE59-93BA6F61BDEE}"/>
            </c:ext>
          </c:extLst>
        </c:ser>
        <c:ser>
          <c:idx val="1"/>
          <c:order val="1"/>
          <c:spPr>
            <a:solidFill>
              <a:schemeClr val="bg1"/>
            </a:solidFill>
            <a:ln>
              <a:noFill/>
            </a:ln>
            <a:effectLst/>
          </c:spPr>
          <c:invertIfNegative val="0"/>
          <c:val>
            <c:numRef>
              <c:f>Rating!$B$9</c:f>
              <c:numCache>
                <c:formatCode>0.0</c:formatCode>
                <c:ptCount val="1"/>
                <c:pt idx="0">
                  <c:v>1.3734693877551019</c:v>
                </c:pt>
              </c:numCache>
            </c:numRef>
          </c:val>
          <c:extLst>
            <c:ext xmlns:c16="http://schemas.microsoft.com/office/drawing/2014/chart" uri="{C3380CC4-5D6E-409C-BE32-E72D297353CC}">
              <c16:uniqueId val="{00000001-441D-4ACD-AE59-93BA6F61BDEE}"/>
            </c:ext>
          </c:extLst>
        </c:ser>
        <c:dLbls>
          <c:showLegendKey val="0"/>
          <c:showVal val="0"/>
          <c:showCatName val="0"/>
          <c:showSerName val="0"/>
          <c:showPercent val="0"/>
          <c:showBubbleSize val="0"/>
        </c:dLbls>
        <c:gapWidth val="0"/>
        <c:overlap val="100"/>
        <c:axId val="1069465744"/>
        <c:axId val="1069466704"/>
      </c:barChart>
      <c:catAx>
        <c:axId val="1069465744"/>
        <c:scaling>
          <c:orientation val="minMax"/>
        </c:scaling>
        <c:delete val="1"/>
        <c:axPos val="l"/>
        <c:majorTickMark val="out"/>
        <c:minorTickMark val="none"/>
        <c:tickLblPos val="nextTo"/>
        <c:crossAx val="1069466704"/>
        <c:crosses val="autoZero"/>
        <c:auto val="1"/>
        <c:lblAlgn val="ctr"/>
        <c:lblOffset val="100"/>
        <c:noMultiLvlLbl val="0"/>
      </c:catAx>
      <c:valAx>
        <c:axId val="1069466704"/>
        <c:scaling>
          <c:orientation val="minMax"/>
          <c:max val="4"/>
        </c:scaling>
        <c:delete val="1"/>
        <c:axPos val="b"/>
        <c:numFmt formatCode="0.0" sourceLinked="1"/>
        <c:majorTickMark val="out"/>
        <c:minorTickMark val="none"/>
        <c:tickLblPos val="nextTo"/>
        <c:crossAx val="106946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263434175991159E-2"/>
          <c:y val="3.6036036036036036E-2"/>
          <c:w val="0.89649122807017545"/>
          <c:h val="0.92072072072072075"/>
        </c:manualLayout>
      </c:layout>
      <c:doughnutChart>
        <c:varyColors val="1"/>
        <c:ser>
          <c:idx val="0"/>
          <c:order val="0"/>
          <c:spPr>
            <a:ln>
              <a:noFill/>
            </a:ln>
          </c:spPr>
          <c:dPt>
            <c:idx val="0"/>
            <c:bubble3D val="0"/>
            <c:spPr>
              <a:gradFill>
                <a:gsLst>
                  <a:gs pos="0">
                    <a:srgbClr val="7D0541"/>
                  </a:gs>
                  <a:gs pos="100000">
                    <a:srgbClr val="C90756"/>
                  </a:gs>
                </a:gsLst>
                <a:lin ang="10800000" scaled="0"/>
              </a:gradFill>
              <a:ln w="19050">
                <a:noFill/>
              </a:ln>
              <a:effectLst/>
            </c:spPr>
            <c:extLst>
              <c:ext xmlns:c16="http://schemas.microsoft.com/office/drawing/2014/chart" uri="{C3380CC4-5D6E-409C-BE32-E72D297353CC}">
                <c16:uniqueId val="{00000001-9358-452F-AF19-4E4E9C96A38D}"/>
              </c:ext>
            </c:extLst>
          </c:dPt>
          <c:dPt>
            <c:idx val="1"/>
            <c:bubble3D val="0"/>
            <c:spPr>
              <a:solidFill>
                <a:schemeClr val="accent2">
                  <a:lumMod val="20000"/>
                  <a:lumOff val="80000"/>
                </a:schemeClr>
              </a:solidFill>
              <a:ln w="19050">
                <a:noFill/>
              </a:ln>
              <a:effectLst/>
            </c:spPr>
            <c:extLst>
              <c:ext xmlns:c16="http://schemas.microsoft.com/office/drawing/2014/chart" uri="{C3380CC4-5D6E-409C-BE32-E72D297353CC}">
                <c16:uniqueId val="{00000003-9358-452F-AF19-4E4E9C96A38D}"/>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9358-452F-AF19-4E4E9C96A38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263434175991159E-2"/>
          <c:y val="3.6036036036036036E-2"/>
          <c:w val="0.89649122807017545"/>
          <c:h val="0.92072072072072075"/>
        </c:manualLayout>
      </c:layout>
      <c:doughnutChart>
        <c:varyColors val="1"/>
        <c:ser>
          <c:idx val="0"/>
          <c:order val="0"/>
          <c:spPr>
            <a:ln>
              <a:noFill/>
            </a:ln>
          </c:spPr>
          <c:dPt>
            <c:idx val="0"/>
            <c:bubble3D val="0"/>
            <c:spPr>
              <a:solidFill>
                <a:schemeClr val="accent2">
                  <a:lumMod val="20000"/>
                  <a:lumOff val="80000"/>
                </a:schemeClr>
              </a:solidFill>
              <a:ln w="19050">
                <a:noFill/>
              </a:ln>
              <a:effectLst/>
            </c:spPr>
            <c:extLst>
              <c:ext xmlns:c16="http://schemas.microsoft.com/office/drawing/2014/chart" uri="{C3380CC4-5D6E-409C-BE32-E72D297353CC}">
                <c16:uniqueId val="{00000001-47E9-444D-8B82-3361C62109B2}"/>
              </c:ext>
            </c:extLst>
          </c:dPt>
          <c:dPt>
            <c:idx val="1"/>
            <c:bubble3D val="0"/>
            <c:spPr>
              <a:gradFill>
                <a:gsLst>
                  <a:gs pos="0">
                    <a:schemeClr val="accent2">
                      <a:lumMod val="50000"/>
                    </a:schemeClr>
                  </a:gs>
                  <a:gs pos="100000">
                    <a:schemeClr val="accent1">
                      <a:lumMod val="75000"/>
                    </a:schemeClr>
                  </a:gs>
                </a:gsLst>
                <a:lin ang="10800000" scaled="0"/>
              </a:gradFill>
              <a:ln w="19050">
                <a:noFill/>
              </a:ln>
              <a:effectLst/>
            </c:spPr>
            <c:extLst>
              <c:ext xmlns:c16="http://schemas.microsoft.com/office/drawing/2014/chart" uri="{C3380CC4-5D6E-409C-BE32-E72D297353CC}">
                <c16:uniqueId val="{00000003-47E9-444D-8B82-3361C62109B2}"/>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47E9-444D-8B82-3361C62109B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[HR_Analysis_Dashboard.xlsx]Education by Attrition!Education by Attrition</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3">
                  <a:lumMod val="75000"/>
                </a:schemeClr>
              </a:gs>
              <a:gs pos="100000">
                <a:schemeClr val="accent6">
                  <a:lumMod val="50000"/>
                </a:schemeClr>
              </a:gs>
            </a:gsLst>
            <a:lin ang="8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3">
                  <a:lumMod val="75000"/>
                </a:schemeClr>
              </a:gs>
              <a:gs pos="100000">
                <a:schemeClr val="accent6">
                  <a:lumMod val="50000"/>
                </a:schemeClr>
              </a:gs>
            </a:gsLst>
            <a:lin ang="8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3">
                  <a:lumMod val="75000"/>
                </a:schemeClr>
              </a:gs>
              <a:gs pos="100000">
                <a:schemeClr val="accent6">
                  <a:lumMod val="50000"/>
                </a:schemeClr>
              </a:gs>
            </a:gsLst>
            <a:lin ang="8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3">
                    <a:lumMod val="75000"/>
                  </a:schemeClr>
                </a:gs>
                <a:gs pos="100000">
                  <a:schemeClr val="accent6">
                    <a:lumMod val="50000"/>
                  </a:schemeClr>
                </a:gs>
              </a:gsLst>
              <a:lin ang="8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165-41FC-AB69-ED71268FFBE5}"/>
            </c:ext>
          </c:extLst>
        </c:ser>
        <c:dLbls>
          <c:dLblPos val="outEnd"/>
          <c:showLegendKey val="0"/>
          <c:showVal val="1"/>
          <c:showCatName val="0"/>
          <c:showSerName val="0"/>
          <c:showPercent val="0"/>
          <c:showBubbleSize val="0"/>
        </c:dLbls>
        <c:gapWidth val="75"/>
        <c:axId val="446042864"/>
        <c:axId val="446043824"/>
      </c:barChart>
      <c:catAx>
        <c:axId val="44604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46043824"/>
        <c:crosses val="autoZero"/>
        <c:auto val="1"/>
        <c:lblAlgn val="ctr"/>
        <c:lblOffset val="100"/>
        <c:noMultiLvlLbl val="0"/>
      </c:catAx>
      <c:valAx>
        <c:axId val="446043824"/>
        <c:scaling>
          <c:orientation val="minMax"/>
        </c:scaling>
        <c:delete val="1"/>
        <c:axPos val="b"/>
        <c:numFmt formatCode="General" sourceLinked="1"/>
        <c:majorTickMark val="none"/>
        <c:minorTickMark val="none"/>
        <c:tickLblPos val="nextTo"/>
        <c:crossAx val="44604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[HR_Analysis_Dashboard.xlsx]Dept wise Attrition!Dept wise Attrition</c:name>
    <c:fmtId val="14"/>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2700">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75000"/>
                </a:schemeClr>
              </a:gs>
              <a:gs pos="100000">
                <a:schemeClr val="accent1">
                  <a:lumMod val="50000"/>
                </a:schemeClr>
              </a:gs>
            </a:gsLst>
            <a:lin ang="10800000" scaled="0"/>
          </a:gradFill>
          <a:ln w="12700">
            <a:solidFill>
              <a:schemeClr val="bg2">
                <a:lumMod val="90000"/>
              </a:schemeClr>
            </a:solidFill>
          </a:ln>
          <a:effectLst/>
        </c:spPr>
      </c:pivotFmt>
      <c:pivotFmt>
        <c:idx val="7"/>
        <c:spPr>
          <a:gradFill>
            <a:gsLst>
              <a:gs pos="0">
                <a:schemeClr val="accent3">
                  <a:lumMod val="75000"/>
                </a:schemeClr>
              </a:gs>
              <a:gs pos="100000">
                <a:schemeClr val="accent3">
                  <a:lumMod val="50000"/>
                </a:schemeClr>
              </a:gs>
            </a:gsLst>
            <a:lin ang="10800000" scaled="0"/>
          </a:gradFill>
          <a:ln w="12700">
            <a:solidFill>
              <a:schemeClr val="bg2">
                <a:lumMod val="9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3">
                  <a:lumMod val="50000"/>
                </a:schemeClr>
              </a:gs>
              <a:gs pos="0">
                <a:schemeClr val="accent6">
                  <a:lumMod val="50000"/>
                </a:schemeClr>
              </a:gs>
            </a:gsLst>
            <a:lin ang="10800000" scaled="0"/>
          </a:gradFill>
          <a:ln w="12700">
            <a:solidFill>
              <a:schemeClr val="bg2">
                <a:lumMod val="90000"/>
              </a:schemeClr>
            </a:solidFill>
          </a:ln>
          <a:effectLst/>
        </c:spPr>
      </c:pivotFmt>
      <c:pivotFmt>
        <c:idx val="9"/>
        <c:spPr>
          <a:solidFill>
            <a:schemeClr val="accent3"/>
          </a:solidFill>
          <a:ln w="12700">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1">
                  <a:lumMod val="75000"/>
                </a:schemeClr>
              </a:gs>
              <a:gs pos="100000">
                <a:schemeClr val="accent1">
                  <a:lumMod val="50000"/>
                </a:schemeClr>
              </a:gs>
            </a:gsLst>
            <a:lin ang="10800000" scaled="0"/>
          </a:gradFill>
          <a:ln w="12700">
            <a:solidFill>
              <a:schemeClr val="bg2">
                <a:lumMod val="90000"/>
              </a:schemeClr>
            </a:solidFill>
          </a:ln>
          <a:effectLst/>
        </c:spPr>
      </c:pivotFmt>
      <c:pivotFmt>
        <c:idx val="11"/>
        <c:spPr>
          <a:gradFill>
            <a:gsLst>
              <a:gs pos="0">
                <a:schemeClr val="accent3">
                  <a:lumMod val="75000"/>
                </a:schemeClr>
              </a:gs>
              <a:gs pos="100000">
                <a:schemeClr val="accent3">
                  <a:lumMod val="50000"/>
                </a:schemeClr>
              </a:gs>
            </a:gsLst>
            <a:lin ang="10800000" scaled="0"/>
          </a:gradFill>
          <a:ln w="12700">
            <a:solidFill>
              <a:schemeClr val="bg2">
                <a:lumMod val="9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3">
                  <a:lumMod val="50000"/>
                </a:schemeClr>
              </a:gs>
              <a:gs pos="0">
                <a:schemeClr val="accent6">
                  <a:lumMod val="50000"/>
                </a:schemeClr>
              </a:gs>
            </a:gsLst>
            <a:lin ang="10800000" scaled="0"/>
          </a:gradFill>
          <a:ln w="12700">
            <a:solidFill>
              <a:schemeClr val="bg2">
                <a:lumMod val="90000"/>
              </a:schemeClr>
            </a:solidFill>
          </a:ln>
          <a:effectLst/>
        </c:spPr>
      </c:pivotFmt>
      <c:pivotFmt>
        <c:idx val="13"/>
        <c:spPr>
          <a:solidFill>
            <a:schemeClr val="accent3"/>
          </a:solidFill>
          <a:ln w="12700">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accent1">
                  <a:lumMod val="75000"/>
                </a:schemeClr>
              </a:gs>
              <a:gs pos="100000">
                <a:schemeClr val="accent1">
                  <a:lumMod val="50000"/>
                </a:schemeClr>
              </a:gs>
            </a:gsLst>
            <a:lin ang="10800000" scaled="0"/>
          </a:gradFill>
          <a:ln w="12700">
            <a:solidFill>
              <a:schemeClr val="bg2">
                <a:lumMod val="90000"/>
              </a:schemeClr>
            </a:solidFill>
          </a:ln>
          <a:effectLst/>
        </c:spPr>
      </c:pivotFmt>
      <c:pivotFmt>
        <c:idx val="15"/>
        <c:spPr>
          <a:gradFill>
            <a:gsLst>
              <a:gs pos="0">
                <a:schemeClr val="accent3">
                  <a:lumMod val="75000"/>
                </a:schemeClr>
              </a:gs>
              <a:gs pos="100000">
                <a:schemeClr val="accent3">
                  <a:lumMod val="50000"/>
                </a:schemeClr>
              </a:gs>
            </a:gsLst>
            <a:lin ang="10800000" scaled="0"/>
          </a:gradFill>
          <a:ln w="12700">
            <a:solidFill>
              <a:schemeClr val="bg2">
                <a:lumMod val="90000"/>
              </a:schemeClr>
            </a:solidFill>
          </a:ln>
          <a:effectLst/>
        </c:spPr>
      </c:pivotFmt>
      <c:pivotFmt>
        <c:idx val="16"/>
        <c:spPr>
          <a:gradFill>
            <a:gsLst>
              <a:gs pos="100000">
                <a:schemeClr val="accent3">
                  <a:lumMod val="50000"/>
                </a:schemeClr>
              </a:gs>
              <a:gs pos="0">
                <a:schemeClr val="accent6">
                  <a:lumMod val="50000"/>
                </a:schemeClr>
              </a:gs>
            </a:gsLst>
            <a:lin ang="10800000" scaled="0"/>
          </a:gradFill>
          <a:ln w="12700">
            <a:solidFill>
              <a:schemeClr val="bg2">
                <a:lumMod val="90000"/>
              </a:schemeClr>
            </a:solidFill>
          </a:ln>
          <a:effectLst/>
        </c:spPr>
      </c:pivotFmt>
    </c:pivotFmts>
    <c:plotArea>
      <c:layout/>
      <c:pieChart>
        <c:varyColors val="1"/>
        <c:ser>
          <c:idx val="0"/>
          <c:order val="0"/>
          <c:tx>
            <c:strRef>
              <c:f>'Dept wise Attrition'!$B$3</c:f>
              <c:strCache>
                <c:ptCount val="1"/>
                <c:pt idx="0">
                  <c:v>Total</c:v>
                </c:pt>
              </c:strCache>
            </c:strRef>
          </c:tx>
          <c:spPr>
            <a:ln w="12700">
              <a:solidFill>
                <a:schemeClr val="bg2">
                  <a:lumMod val="90000"/>
                </a:schemeClr>
              </a:solidFill>
            </a:ln>
          </c:spPr>
          <c:dPt>
            <c:idx val="0"/>
            <c:bubble3D val="0"/>
            <c:spPr>
              <a:gradFill>
                <a:gsLst>
                  <a:gs pos="0">
                    <a:schemeClr val="accent1">
                      <a:lumMod val="75000"/>
                    </a:schemeClr>
                  </a:gs>
                  <a:gs pos="100000">
                    <a:schemeClr val="accent1">
                      <a:lumMod val="50000"/>
                    </a:schemeClr>
                  </a:gs>
                </a:gsLst>
                <a:lin ang="10800000" scaled="0"/>
              </a:gradFill>
              <a:ln w="12700">
                <a:solidFill>
                  <a:schemeClr val="bg2">
                    <a:lumMod val="90000"/>
                  </a:schemeClr>
                </a:solidFill>
              </a:ln>
              <a:effectLst/>
            </c:spPr>
            <c:extLst>
              <c:ext xmlns:c16="http://schemas.microsoft.com/office/drawing/2014/chart" uri="{C3380CC4-5D6E-409C-BE32-E72D297353CC}">
                <c16:uniqueId val="{00000001-778C-4D46-A3EA-953A8B8A2606}"/>
              </c:ext>
            </c:extLst>
          </c:dPt>
          <c:dPt>
            <c:idx val="1"/>
            <c:bubble3D val="0"/>
            <c:spPr>
              <a:gradFill>
                <a:gsLst>
                  <a:gs pos="0">
                    <a:schemeClr val="accent3">
                      <a:lumMod val="75000"/>
                    </a:schemeClr>
                  </a:gs>
                  <a:gs pos="100000">
                    <a:schemeClr val="accent3">
                      <a:lumMod val="50000"/>
                    </a:schemeClr>
                  </a:gs>
                </a:gsLst>
                <a:lin ang="10800000" scaled="0"/>
              </a:gradFill>
              <a:ln w="12700">
                <a:solidFill>
                  <a:schemeClr val="bg2">
                    <a:lumMod val="90000"/>
                  </a:schemeClr>
                </a:solidFill>
              </a:ln>
              <a:effectLst/>
            </c:spPr>
            <c:extLst>
              <c:ext xmlns:c16="http://schemas.microsoft.com/office/drawing/2014/chart" uri="{C3380CC4-5D6E-409C-BE32-E72D297353CC}">
                <c16:uniqueId val="{00000003-778C-4D46-A3EA-953A8B8A2606}"/>
              </c:ext>
            </c:extLst>
          </c:dPt>
          <c:dPt>
            <c:idx val="2"/>
            <c:bubble3D val="0"/>
            <c:spPr>
              <a:gradFill>
                <a:gsLst>
                  <a:gs pos="100000">
                    <a:schemeClr val="accent3">
                      <a:lumMod val="50000"/>
                    </a:schemeClr>
                  </a:gs>
                  <a:gs pos="0">
                    <a:schemeClr val="accent6">
                      <a:lumMod val="50000"/>
                    </a:schemeClr>
                  </a:gs>
                </a:gsLst>
                <a:lin ang="10800000" scaled="0"/>
              </a:gradFill>
              <a:ln w="12700">
                <a:solidFill>
                  <a:schemeClr val="bg2">
                    <a:lumMod val="90000"/>
                  </a:schemeClr>
                </a:solidFill>
              </a:ln>
              <a:effectLst/>
            </c:spPr>
            <c:extLst>
              <c:ext xmlns:c16="http://schemas.microsoft.com/office/drawing/2014/chart" uri="{C3380CC4-5D6E-409C-BE32-E72D297353CC}">
                <c16:uniqueId val="{00000005-778C-4D46-A3EA-953A8B8A260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778C-4D46-A3EA-953A8B8A260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[HR_Analysis_Dashboard.xlsx]Attrition by Age Group!Attrition by Age Group</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75000"/>
                </a:schemeClr>
              </a:gs>
              <a:gs pos="100000">
                <a:schemeClr val="accent2">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75000"/>
                </a:schemeClr>
              </a:gs>
              <a:gs pos="100000">
                <a:schemeClr val="accent2">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75000"/>
                </a:schemeClr>
              </a:gs>
              <a:gs pos="100000">
                <a:schemeClr val="accent2">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1">
                    <a:lumMod val="75000"/>
                  </a:schemeClr>
                </a:gs>
                <a:gs pos="100000">
                  <a:schemeClr val="accent2">
                    <a:lumMod val="5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559C-40E3-8314-D446CC7ABEE1}"/>
            </c:ext>
          </c:extLst>
        </c:ser>
        <c:dLbls>
          <c:dLblPos val="outEnd"/>
          <c:showLegendKey val="0"/>
          <c:showVal val="1"/>
          <c:showCatName val="0"/>
          <c:showSerName val="0"/>
          <c:showPercent val="0"/>
          <c:showBubbleSize val="0"/>
        </c:dLbls>
        <c:gapWidth val="65"/>
        <c:axId val="1766634944"/>
        <c:axId val="1766631104"/>
      </c:barChart>
      <c:catAx>
        <c:axId val="176663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66631104"/>
        <c:crosses val="autoZero"/>
        <c:auto val="1"/>
        <c:lblAlgn val="ctr"/>
        <c:lblOffset val="100"/>
        <c:noMultiLvlLbl val="0"/>
      </c:catAx>
      <c:valAx>
        <c:axId val="1766631104"/>
        <c:scaling>
          <c:orientation val="minMax"/>
        </c:scaling>
        <c:delete val="1"/>
        <c:axPos val="l"/>
        <c:numFmt formatCode="General" sourceLinked="1"/>
        <c:majorTickMark val="none"/>
        <c:minorTickMark val="none"/>
        <c:tickLblPos val="nextTo"/>
        <c:crossAx val="176663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4D6BEB6C-C97E-4AD2-833C-F5BDB971C526}">
          <cx:tx>
            <cx:txData>
              <cx:f>_xlchart.v1.1</cx:f>
              <cx:v>Attrition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509C95B1-FA32-435E-BCB8-AFC6EB3E3155}">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509C95B1-FA32-435E-BCB8-AFC6EB3E3155}">
          <cx:spPr>
            <a:gradFill>
              <a:gsLst>
                <a:gs pos="50000">
                  <a:schemeClr val="accent3">
                    <a:lumMod val="74000"/>
                  </a:schemeClr>
                </a:gs>
                <a:gs pos="0">
                  <a:schemeClr val="accent3">
                    <a:lumMod val="60000"/>
                    <a:lumOff val="40000"/>
                  </a:schemeClr>
                </a:gs>
                <a:gs pos="100000">
                  <a:schemeClr val="accent3">
                    <a:lumMod val="50000"/>
                  </a:schemeClr>
                </a:gs>
              </a:gsLst>
              <a:lin ang="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dataLabels>
            <cx:txPr>
              <a:bodyPr spcFirstLastPara="1" vertOverflow="ellipsis" horzOverflow="overflow" wrap="square" lIns="0" tIns="0" rIns="0" bIns="0" anchor="ctr" anchorCtr="1"/>
              <a:lstStyle/>
              <a:p>
                <a:pPr algn="ctr" rtl="0">
                  <a:defRPr sz="1100" b="1">
                    <a:solidFill>
                      <a:schemeClr val="bg1">
                        <a:lumMod val="95000"/>
                      </a:schemeClr>
                    </a:solidFill>
                  </a:defRPr>
                </a:pPr>
                <a:endParaRPr lang="en-US" sz="1100" b="1" i="0" u="none" strike="noStrike" baseline="0">
                  <a:solidFill>
                    <a:schemeClr val="bg1">
                      <a:lumMod val="95000"/>
                    </a:schemeClr>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pPr>
            <a:endParaRPr lang="en-US" sz="1050" b="1" i="0" u="none" strike="noStrike" baseline="0">
              <a:solidFill>
                <a:sysClr val="windowText" lastClr="000000">
                  <a:lumMod val="65000"/>
                  <a:lumOff val="35000"/>
                </a:sysClr>
              </a:solidFill>
              <a:latin typeface="Calibri"/>
              <a:ea typeface="Calibri"/>
              <a:cs typeface="Calibri"/>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4D6BEB6C-C97E-4AD2-833C-F5BDB971C526}">
          <cx:tx>
            <cx:txData>
              <cx:f>_xlchart.v1.6</cx:f>
              <cx:v>Attrition</cx:v>
            </cx:txData>
          </cx:tx>
          <cx:dataLabels pos="inEnd">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Calibri"/>
                  <a:ea typeface="Calibri"/>
                  <a:cs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_xlchart.v2.13</cx:f>
      </cx:strDim>
      <cx:numDim type="val">
        <cx:f>_xlchart.v2.14</cx:f>
      </cx:numDim>
    </cx:data>
  </cx:chartData>
  <cx:chart>
    <cx:plotArea>
      <cx:plotAreaRegion>
        <cx:series layoutId="funnel" uniqueId="{509C95B1-FA32-435E-BCB8-AFC6EB3E3155}">
          <cx:spPr>
            <a:gradFill>
              <a:gsLst>
                <a:gs pos="50000">
                  <a:schemeClr val="accent3">
                    <a:lumMod val="74000"/>
                  </a:schemeClr>
                </a:gs>
                <a:gs pos="0">
                  <a:schemeClr val="accent3">
                    <a:lumMod val="60000"/>
                    <a:lumOff val="40000"/>
                  </a:schemeClr>
                </a:gs>
                <a:gs pos="100000">
                  <a:schemeClr val="accent3">
                    <a:lumMod val="50000"/>
                  </a:schemeClr>
                </a:gs>
              </a:gsLst>
              <a:lin ang="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dataLabels>
            <cx:txPr>
              <a:bodyPr spcFirstLastPara="1" vertOverflow="ellipsis" horzOverflow="overflow" wrap="square" lIns="0" tIns="0" rIns="0" bIns="0" anchor="ctr" anchorCtr="1"/>
              <a:lstStyle/>
              <a:p>
                <a:pPr algn="ctr" rtl="0">
                  <a:defRPr sz="1100" b="1">
                    <a:solidFill>
                      <a:schemeClr val="bg1">
                        <a:lumMod val="95000"/>
                      </a:schemeClr>
                    </a:solidFill>
                  </a:defRPr>
                </a:pPr>
                <a:endParaRPr lang="en-US" sz="1100" b="1" i="0" u="none" strike="noStrike" baseline="0">
                  <a:solidFill>
                    <a:schemeClr val="bg1">
                      <a:lumMod val="95000"/>
                    </a:schemeClr>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pPr>
            <a:endParaRPr lang="en-US" sz="1050" b="1" i="0" u="none" strike="noStrike" baseline="0">
              <a:solidFill>
                <a:sysClr val="windowText" lastClr="000000">
                  <a:lumMod val="65000"/>
                  <a:lumOff val="35000"/>
                </a:sysClr>
              </a:solidFill>
              <a:latin typeface="Calibri"/>
              <a:ea typeface="Calibri"/>
              <a:cs typeface="Calibri"/>
            </a:endParaRPr>
          </a:p>
        </cx:txPr>
      </cx:axis>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_xlchart.v1.12</cx:f>
      </cx:numDim>
    </cx:data>
  </cx:chartData>
  <cx:chart>
    <cx:plotArea>
      <cx:plotAreaRegion>
        <cx:series layoutId="treemap" uniqueId="{4D6BEB6C-C97E-4AD2-833C-F5BDB971C526}">
          <cx:tx>
            <cx:txData>
              <cx:f>_xlchart.v1.11</cx:f>
              <cx:v>Attrition</cx:v>
            </cx:txData>
          </cx:tx>
          <cx:dataLabels pos="inEnd">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Calibri"/>
                  <a:ea typeface="Calibri"/>
                  <a:cs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3">
  <a:schemeClr val="accent3"/>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Reversed" id="23">
  <a:schemeClr val="accent3"/>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9.svg"/><Relationship Id="rId18"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chart" Target="../charts/chart13.xml"/><Relationship Id="rId2" Type="http://schemas.openxmlformats.org/officeDocument/2006/relationships/image" Target="../media/image2.png"/><Relationship Id="rId16" Type="http://schemas.openxmlformats.org/officeDocument/2006/relationships/chart" Target="../charts/chart12.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10.xml"/><Relationship Id="rId19" Type="http://schemas.microsoft.com/office/2014/relationships/chartEx" Target="../charts/chartEx3.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12.svg"/><Relationship Id="rId18" Type="http://schemas.openxmlformats.org/officeDocument/2006/relationships/chart" Target="../charts/chart21.xml"/><Relationship Id="rId3" Type="http://schemas.openxmlformats.org/officeDocument/2006/relationships/chart" Target="../charts/chart15.xml"/><Relationship Id="rId7" Type="http://schemas.openxmlformats.org/officeDocument/2006/relationships/image" Target="../media/image3.png"/><Relationship Id="rId12" Type="http://schemas.openxmlformats.org/officeDocument/2006/relationships/image" Target="../media/image8.png"/><Relationship Id="rId17" Type="http://schemas.openxmlformats.org/officeDocument/2006/relationships/chart" Target="../charts/chart20.xml"/><Relationship Id="rId2" Type="http://schemas.openxmlformats.org/officeDocument/2006/relationships/image" Target="../media/image7.png"/><Relationship Id="rId16" Type="http://schemas.openxmlformats.org/officeDocument/2006/relationships/chart" Target="../charts/chart19.xml"/><Relationship Id="rId20" Type="http://schemas.microsoft.com/office/2014/relationships/chartEx" Target="../charts/chartEx6.xml"/><Relationship Id="rId1" Type="http://schemas.openxmlformats.org/officeDocument/2006/relationships/image" Target="../media/image6.png"/><Relationship Id="rId6" Type="http://schemas.openxmlformats.org/officeDocument/2006/relationships/image" Target="../media/image2.png"/><Relationship Id="rId11" Type="http://schemas.openxmlformats.org/officeDocument/2006/relationships/chart" Target="../charts/chart18.xml"/><Relationship Id="rId5" Type="http://schemas.openxmlformats.org/officeDocument/2006/relationships/image" Target="../media/image1.png"/><Relationship Id="rId15" Type="http://schemas.openxmlformats.org/officeDocument/2006/relationships/image" Target="../media/image11.svg"/><Relationship Id="rId10" Type="http://schemas.openxmlformats.org/officeDocument/2006/relationships/chart" Target="../charts/chart17.xml"/><Relationship Id="rId19" Type="http://schemas.microsoft.com/office/2014/relationships/chartEx" Target="../charts/chartEx5.xml"/><Relationship Id="rId4" Type="http://schemas.openxmlformats.org/officeDocument/2006/relationships/chart" Target="../charts/chart16.xml"/><Relationship Id="rId9" Type="http://schemas.openxmlformats.org/officeDocument/2006/relationships/image" Target="../media/image5.png"/><Relationship Id="rId14"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8" Type="http://schemas.openxmlformats.org/officeDocument/2006/relationships/image" Target="../media/image20.png"/><Relationship Id="rId13" Type="http://schemas.openxmlformats.org/officeDocument/2006/relationships/image" Target="../media/image24.pn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5.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3.png"/><Relationship Id="rId5" Type="http://schemas.openxmlformats.org/officeDocument/2006/relationships/image" Target="../media/image17.png"/><Relationship Id="rId15" Type="http://schemas.openxmlformats.org/officeDocument/2006/relationships/image" Target="../media/image26.png"/><Relationship Id="rId10" Type="http://schemas.openxmlformats.org/officeDocument/2006/relationships/image" Target="../media/image22.png"/><Relationship Id="rId4" Type="http://schemas.openxmlformats.org/officeDocument/2006/relationships/image" Target="../media/image16.png"/><Relationship Id="rId9" Type="http://schemas.openxmlformats.org/officeDocument/2006/relationships/image" Target="../media/image21.png"/><Relationship Id="rId1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0</xdr:col>
      <xdr:colOff>31750</xdr:colOff>
      <xdr:row>10</xdr:row>
      <xdr:rowOff>53621</xdr:rowOff>
    </xdr:from>
    <xdr:to>
      <xdr:col>0</xdr:col>
      <xdr:colOff>1857728</xdr:colOff>
      <xdr:row>15</xdr:row>
      <xdr:rowOff>70554</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97DA07CE-4B98-35A0-562E-08C4D26339B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1750" y="2029177"/>
              <a:ext cx="1825978" cy="10047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82550</xdr:colOff>
      <xdr:row>0</xdr:row>
      <xdr:rowOff>41275</xdr:rowOff>
    </xdr:from>
    <xdr:to>
      <xdr:col>5</xdr:col>
      <xdr:colOff>590550</xdr:colOff>
      <xdr:row>8</xdr:row>
      <xdr:rowOff>158750</xdr:rowOff>
    </xdr:to>
    <xdr:graphicFrame macro="">
      <xdr:nvGraphicFramePr>
        <xdr:cNvPr id="2" name="Chart 1">
          <a:extLst>
            <a:ext uri="{FF2B5EF4-FFF2-40B4-BE49-F238E27FC236}">
              <a16:creationId xmlns:a16="http://schemas.microsoft.com/office/drawing/2014/main" id="{791BD21E-751F-D806-4921-7B70F643D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0</xdr:row>
      <xdr:rowOff>44451</xdr:rowOff>
    </xdr:from>
    <xdr:to>
      <xdr:col>8</xdr:col>
      <xdr:colOff>508000</xdr:colOff>
      <xdr:row>8</xdr:row>
      <xdr:rowOff>146051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549D0E0C-06A5-002D-8FF1-5DC0138EAEC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086225" y="44451"/>
              <a:ext cx="1827804" cy="16953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101600</xdr:colOff>
      <xdr:row>9</xdr:row>
      <xdr:rowOff>63500</xdr:rowOff>
    </xdr:from>
    <xdr:to>
      <xdr:col>4</xdr:col>
      <xdr:colOff>406400</xdr:colOff>
      <xdr:row>14</xdr:row>
      <xdr:rowOff>15874</xdr:rowOff>
    </xdr:to>
    <xdr:graphicFrame macro="">
      <xdr:nvGraphicFramePr>
        <xdr:cNvPr id="5" name="Chart 4">
          <a:extLst>
            <a:ext uri="{FF2B5EF4-FFF2-40B4-BE49-F238E27FC236}">
              <a16:creationId xmlns:a16="http://schemas.microsoft.com/office/drawing/2014/main" id="{EBB17F49-435A-F58A-7387-FE56976E9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6350</xdr:colOff>
      <xdr:row>9</xdr:row>
      <xdr:rowOff>6350</xdr:rowOff>
    </xdr:from>
    <xdr:to>
      <xdr:col>8</xdr:col>
      <xdr:colOff>514350</xdr:colOff>
      <xdr:row>22</xdr:row>
      <xdr:rowOff>161919</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796C8926-09FC-B4AA-DC0F-44EE9EE98F7F}"/>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092575" y="1799291"/>
              <a:ext cx="1827804" cy="27453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95250</xdr:colOff>
      <xdr:row>14</xdr:row>
      <xdr:rowOff>38100</xdr:rowOff>
    </xdr:from>
    <xdr:to>
      <xdr:col>4</xdr:col>
      <xdr:colOff>404963</xdr:colOff>
      <xdr:row>17</xdr:row>
      <xdr:rowOff>3073</xdr:rowOff>
    </xdr:to>
    <xdr:sp macro="" textlink="">
      <xdr:nvSpPr>
        <xdr:cNvPr id="7" name="Freeform: Shape 6">
          <a:extLst>
            <a:ext uri="{FF2B5EF4-FFF2-40B4-BE49-F238E27FC236}">
              <a16:creationId xmlns:a16="http://schemas.microsoft.com/office/drawing/2014/main" id="{9B013302-B22F-B32E-2FFF-DA3F78EAB316}"/>
            </a:ext>
          </a:extLst>
        </xdr:cNvPr>
        <xdr:cNvSpPr/>
      </xdr:nvSpPr>
      <xdr:spPr>
        <a:xfrm>
          <a:off x="1847850" y="2794000"/>
          <a:ext cx="2290913" cy="555523"/>
        </a:xfrm>
        <a:custGeom>
          <a:avLst/>
          <a:gdLst>
            <a:gd name="csX0" fmla="*/ 1919747 w 2290913"/>
            <a:gd name="csY0" fmla="*/ 49161 h 555523"/>
            <a:gd name="csX1" fmla="*/ 1865783 w 2290913"/>
            <a:gd name="csY1" fmla="*/ 223797 h 555523"/>
            <a:gd name="csX2" fmla="*/ 1691147 w 2290913"/>
            <a:gd name="csY2" fmla="*/ 223795 h 555523"/>
            <a:gd name="csX3" fmla="*/ 1832431 w 2290913"/>
            <a:gd name="csY3" fmla="*/ 331725 h 555523"/>
            <a:gd name="csX4" fmla="*/ 1778465 w 2290913"/>
            <a:gd name="csY4" fmla="*/ 506360 h 555523"/>
            <a:gd name="csX5" fmla="*/ 1919747 w 2290913"/>
            <a:gd name="csY5" fmla="*/ 398428 h 555523"/>
            <a:gd name="csX6" fmla="*/ 2061029 w 2290913"/>
            <a:gd name="csY6" fmla="*/ 506360 h 555523"/>
            <a:gd name="csX7" fmla="*/ 2007063 w 2290913"/>
            <a:gd name="csY7" fmla="*/ 331725 h 555523"/>
            <a:gd name="csX8" fmla="*/ 2148347 w 2290913"/>
            <a:gd name="csY8" fmla="*/ 223795 h 555523"/>
            <a:gd name="csX9" fmla="*/ 1973711 w 2290913"/>
            <a:gd name="csY9" fmla="*/ 223797 h 555523"/>
            <a:gd name="csX10" fmla="*/ 1393721 w 2290913"/>
            <a:gd name="csY10" fmla="*/ 49161 h 555523"/>
            <a:gd name="csX11" fmla="*/ 1339757 w 2290913"/>
            <a:gd name="csY11" fmla="*/ 223797 h 555523"/>
            <a:gd name="csX12" fmla="*/ 1165121 w 2290913"/>
            <a:gd name="csY12" fmla="*/ 223795 h 555523"/>
            <a:gd name="csX13" fmla="*/ 1306405 w 2290913"/>
            <a:gd name="csY13" fmla="*/ 331725 h 555523"/>
            <a:gd name="csX14" fmla="*/ 1252439 w 2290913"/>
            <a:gd name="csY14" fmla="*/ 506360 h 555523"/>
            <a:gd name="csX15" fmla="*/ 1393721 w 2290913"/>
            <a:gd name="csY15" fmla="*/ 398428 h 555523"/>
            <a:gd name="csX16" fmla="*/ 1535003 w 2290913"/>
            <a:gd name="csY16" fmla="*/ 506360 h 555523"/>
            <a:gd name="csX17" fmla="*/ 1481037 w 2290913"/>
            <a:gd name="csY17" fmla="*/ 331725 h 555523"/>
            <a:gd name="csX18" fmla="*/ 1622321 w 2290913"/>
            <a:gd name="csY18" fmla="*/ 223795 h 555523"/>
            <a:gd name="csX19" fmla="*/ 1447685 w 2290913"/>
            <a:gd name="csY19" fmla="*/ 223797 h 555523"/>
            <a:gd name="csX20" fmla="*/ 867695 w 2290913"/>
            <a:gd name="csY20" fmla="*/ 49161 h 555523"/>
            <a:gd name="csX21" fmla="*/ 813731 w 2290913"/>
            <a:gd name="csY21" fmla="*/ 223797 h 555523"/>
            <a:gd name="csX22" fmla="*/ 639095 w 2290913"/>
            <a:gd name="csY22" fmla="*/ 223795 h 555523"/>
            <a:gd name="csX23" fmla="*/ 780379 w 2290913"/>
            <a:gd name="csY23" fmla="*/ 331725 h 555523"/>
            <a:gd name="csX24" fmla="*/ 726413 w 2290913"/>
            <a:gd name="csY24" fmla="*/ 506360 h 555523"/>
            <a:gd name="csX25" fmla="*/ 867695 w 2290913"/>
            <a:gd name="csY25" fmla="*/ 398428 h 555523"/>
            <a:gd name="csX26" fmla="*/ 1008977 w 2290913"/>
            <a:gd name="csY26" fmla="*/ 506360 h 555523"/>
            <a:gd name="csX27" fmla="*/ 955011 w 2290913"/>
            <a:gd name="csY27" fmla="*/ 331725 h 555523"/>
            <a:gd name="csX28" fmla="*/ 1096295 w 2290913"/>
            <a:gd name="csY28" fmla="*/ 223795 h 555523"/>
            <a:gd name="csX29" fmla="*/ 921659 w 2290913"/>
            <a:gd name="csY29" fmla="*/ 223797 h 555523"/>
            <a:gd name="csX30" fmla="*/ 341669 w 2290913"/>
            <a:gd name="csY30" fmla="*/ 49161 h 555523"/>
            <a:gd name="csX31" fmla="*/ 287705 w 2290913"/>
            <a:gd name="csY31" fmla="*/ 223797 h 555523"/>
            <a:gd name="csX32" fmla="*/ 113069 w 2290913"/>
            <a:gd name="csY32" fmla="*/ 223795 h 555523"/>
            <a:gd name="csX33" fmla="*/ 254353 w 2290913"/>
            <a:gd name="csY33" fmla="*/ 331725 h 555523"/>
            <a:gd name="csX34" fmla="*/ 200387 w 2290913"/>
            <a:gd name="csY34" fmla="*/ 506360 h 555523"/>
            <a:gd name="csX35" fmla="*/ 341669 w 2290913"/>
            <a:gd name="csY35" fmla="*/ 398428 h 555523"/>
            <a:gd name="csX36" fmla="*/ 482951 w 2290913"/>
            <a:gd name="csY36" fmla="*/ 506360 h 555523"/>
            <a:gd name="csX37" fmla="*/ 428985 w 2290913"/>
            <a:gd name="csY37" fmla="*/ 331725 h 555523"/>
            <a:gd name="csX38" fmla="*/ 570269 w 2290913"/>
            <a:gd name="csY38" fmla="*/ 223795 h 555523"/>
            <a:gd name="csX39" fmla="*/ 395633 w 2290913"/>
            <a:gd name="csY39" fmla="*/ 223797 h 555523"/>
            <a:gd name="csX40" fmla="*/ 0 w 2290913"/>
            <a:gd name="csY40" fmla="*/ 0 h 555523"/>
            <a:gd name="csX41" fmla="*/ 2290913 w 2290913"/>
            <a:gd name="csY41" fmla="*/ 0 h 555523"/>
            <a:gd name="csX42" fmla="*/ 2290913 w 2290913"/>
            <a:gd name="csY42" fmla="*/ 555523 h 555523"/>
            <a:gd name="csX43" fmla="*/ 0 w 2290913"/>
            <a:gd name="csY43" fmla="*/ 555523 h 55552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290913" h="555523">
              <a:moveTo>
                <a:pt x="1919747" y="49161"/>
              </a:moveTo>
              <a:lnTo>
                <a:pt x="1865783" y="223797"/>
              </a:lnTo>
              <a:lnTo>
                <a:pt x="1691147" y="223795"/>
              </a:lnTo>
              <a:lnTo>
                <a:pt x="1832431" y="331725"/>
              </a:lnTo>
              <a:lnTo>
                <a:pt x="1778465" y="506360"/>
              </a:lnTo>
              <a:lnTo>
                <a:pt x="1919747" y="398428"/>
              </a:lnTo>
              <a:lnTo>
                <a:pt x="2061029" y="506360"/>
              </a:lnTo>
              <a:lnTo>
                <a:pt x="2007063" y="331725"/>
              </a:lnTo>
              <a:lnTo>
                <a:pt x="2148347" y="223795"/>
              </a:lnTo>
              <a:lnTo>
                <a:pt x="1973711" y="223797"/>
              </a:lnTo>
              <a:close/>
              <a:moveTo>
                <a:pt x="1393721" y="49161"/>
              </a:moveTo>
              <a:lnTo>
                <a:pt x="1339757" y="223797"/>
              </a:lnTo>
              <a:lnTo>
                <a:pt x="1165121" y="223795"/>
              </a:lnTo>
              <a:lnTo>
                <a:pt x="1306405" y="331725"/>
              </a:lnTo>
              <a:lnTo>
                <a:pt x="1252439" y="506360"/>
              </a:lnTo>
              <a:lnTo>
                <a:pt x="1393721" y="398428"/>
              </a:lnTo>
              <a:lnTo>
                <a:pt x="1535003" y="506360"/>
              </a:lnTo>
              <a:lnTo>
                <a:pt x="1481037" y="331725"/>
              </a:lnTo>
              <a:lnTo>
                <a:pt x="1622321" y="223795"/>
              </a:lnTo>
              <a:lnTo>
                <a:pt x="1447685" y="223797"/>
              </a:lnTo>
              <a:close/>
              <a:moveTo>
                <a:pt x="867695" y="49161"/>
              </a:moveTo>
              <a:lnTo>
                <a:pt x="813731" y="223797"/>
              </a:lnTo>
              <a:lnTo>
                <a:pt x="639095" y="223795"/>
              </a:lnTo>
              <a:lnTo>
                <a:pt x="780379" y="331725"/>
              </a:lnTo>
              <a:lnTo>
                <a:pt x="726413" y="506360"/>
              </a:lnTo>
              <a:lnTo>
                <a:pt x="867695" y="398428"/>
              </a:lnTo>
              <a:lnTo>
                <a:pt x="1008977" y="506360"/>
              </a:lnTo>
              <a:lnTo>
                <a:pt x="955011" y="331725"/>
              </a:lnTo>
              <a:lnTo>
                <a:pt x="1096295" y="223795"/>
              </a:lnTo>
              <a:lnTo>
                <a:pt x="921659" y="223797"/>
              </a:lnTo>
              <a:close/>
              <a:moveTo>
                <a:pt x="341669" y="49161"/>
              </a:moveTo>
              <a:lnTo>
                <a:pt x="287705" y="223797"/>
              </a:lnTo>
              <a:lnTo>
                <a:pt x="113069" y="223795"/>
              </a:lnTo>
              <a:lnTo>
                <a:pt x="254353" y="331725"/>
              </a:lnTo>
              <a:lnTo>
                <a:pt x="200387" y="506360"/>
              </a:lnTo>
              <a:lnTo>
                <a:pt x="341669" y="398428"/>
              </a:lnTo>
              <a:lnTo>
                <a:pt x="482951" y="506360"/>
              </a:lnTo>
              <a:lnTo>
                <a:pt x="428985" y="331725"/>
              </a:lnTo>
              <a:lnTo>
                <a:pt x="570269" y="223795"/>
              </a:lnTo>
              <a:lnTo>
                <a:pt x="395633" y="223797"/>
              </a:lnTo>
              <a:close/>
              <a:moveTo>
                <a:pt x="0" y="0"/>
              </a:moveTo>
              <a:lnTo>
                <a:pt x="2290913" y="0"/>
              </a:lnTo>
              <a:lnTo>
                <a:pt x="2290913" y="555523"/>
              </a:lnTo>
              <a:lnTo>
                <a:pt x="0" y="555523"/>
              </a:lnTo>
              <a:close/>
            </a:path>
          </a:pathLst>
        </a:custGeom>
        <a:solidFill>
          <a:schemeClr val="accent2"/>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clientData/>
  </xdr:twoCellAnchor>
  <xdr:twoCellAnchor>
    <xdr:from>
      <xdr:col>1</xdr:col>
      <xdr:colOff>305130</xdr:colOff>
      <xdr:row>21</xdr:row>
      <xdr:rowOff>49480</xdr:rowOff>
    </xdr:from>
    <xdr:to>
      <xdr:col>4</xdr:col>
      <xdr:colOff>581396</xdr:colOff>
      <xdr:row>25</xdr:row>
      <xdr:rowOff>8247</xdr:rowOff>
    </xdr:to>
    <xdr:graphicFrame macro="">
      <xdr:nvGraphicFramePr>
        <xdr:cNvPr id="14" name="Chart 13">
          <a:extLst>
            <a:ext uri="{FF2B5EF4-FFF2-40B4-BE49-F238E27FC236}">
              <a16:creationId xmlns:a16="http://schemas.microsoft.com/office/drawing/2014/main" id="{4821E87F-5093-919D-0F21-A005A405B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325745</xdr:colOff>
      <xdr:row>21</xdr:row>
      <xdr:rowOff>144322</xdr:rowOff>
    </xdr:from>
    <xdr:to>
      <xdr:col>4</xdr:col>
      <xdr:colOff>573147</xdr:colOff>
      <xdr:row>24</xdr:row>
      <xdr:rowOff>111338</xdr:rowOff>
    </xdr:to>
    <xdr:sp macro="" textlink="">
      <xdr:nvSpPr>
        <xdr:cNvPr id="13" name="Freeform: Shape 12">
          <a:extLst>
            <a:ext uri="{FF2B5EF4-FFF2-40B4-BE49-F238E27FC236}">
              <a16:creationId xmlns:a16="http://schemas.microsoft.com/office/drawing/2014/main" id="{DB910787-6EC3-5975-D505-24C87DE0AE98}"/>
            </a:ext>
          </a:extLst>
        </xdr:cNvPr>
        <xdr:cNvSpPr/>
      </xdr:nvSpPr>
      <xdr:spPr>
        <a:xfrm>
          <a:off x="2078180" y="4300686"/>
          <a:ext cx="2226623" cy="560782"/>
        </a:xfrm>
        <a:custGeom>
          <a:avLst/>
          <a:gdLst>
            <a:gd name="csX0" fmla="*/ 1387948 w 1668488"/>
            <a:gd name="csY0" fmla="*/ 35362 h 436485"/>
            <a:gd name="csX1" fmla="*/ 1344777 w 1668488"/>
            <a:gd name="csY1" fmla="*/ 175071 h 436485"/>
            <a:gd name="csX2" fmla="*/ 1205068 w 1668488"/>
            <a:gd name="csY2" fmla="*/ 175070 h 436485"/>
            <a:gd name="csX3" fmla="*/ 1318095 w 1668488"/>
            <a:gd name="csY3" fmla="*/ 261413 h 436485"/>
            <a:gd name="csX4" fmla="*/ 1274922 w 1668488"/>
            <a:gd name="csY4" fmla="*/ 401121 h 436485"/>
            <a:gd name="csX5" fmla="*/ 1387948 w 1668488"/>
            <a:gd name="csY5" fmla="*/ 314776 h 436485"/>
            <a:gd name="csX6" fmla="*/ 1500974 w 1668488"/>
            <a:gd name="csY6" fmla="*/ 401121 h 436485"/>
            <a:gd name="csX7" fmla="*/ 1457801 w 1668488"/>
            <a:gd name="csY7" fmla="*/ 261413 h 436485"/>
            <a:gd name="csX8" fmla="*/ 1570828 w 1668488"/>
            <a:gd name="csY8" fmla="*/ 175070 h 436485"/>
            <a:gd name="csX9" fmla="*/ 1431119 w 1668488"/>
            <a:gd name="csY9" fmla="*/ 175071 h 436485"/>
            <a:gd name="csX10" fmla="*/ 1016004 w 1668488"/>
            <a:gd name="csY10" fmla="*/ 35362 h 436485"/>
            <a:gd name="csX11" fmla="*/ 972833 w 1668488"/>
            <a:gd name="csY11" fmla="*/ 175071 h 436485"/>
            <a:gd name="csX12" fmla="*/ 833124 w 1668488"/>
            <a:gd name="csY12" fmla="*/ 175070 h 436485"/>
            <a:gd name="csX13" fmla="*/ 946151 w 1668488"/>
            <a:gd name="csY13" fmla="*/ 261413 h 436485"/>
            <a:gd name="csX14" fmla="*/ 902978 w 1668488"/>
            <a:gd name="csY14" fmla="*/ 401121 h 436485"/>
            <a:gd name="csX15" fmla="*/ 1016004 w 1668488"/>
            <a:gd name="csY15" fmla="*/ 314776 h 436485"/>
            <a:gd name="csX16" fmla="*/ 1129030 w 1668488"/>
            <a:gd name="csY16" fmla="*/ 401121 h 436485"/>
            <a:gd name="csX17" fmla="*/ 1085857 w 1668488"/>
            <a:gd name="csY17" fmla="*/ 261413 h 436485"/>
            <a:gd name="csX18" fmla="*/ 1198884 w 1668488"/>
            <a:gd name="csY18" fmla="*/ 175070 h 436485"/>
            <a:gd name="csX19" fmla="*/ 1059175 w 1668488"/>
            <a:gd name="csY19" fmla="*/ 175071 h 436485"/>
            <a:gd name="csX20" fmla="*/ 644060 w 1668488"/>
            <a:gd name="csY20" fmla="*/ 35362 h 436485"/>
            <a:gd name="csX21" fmla="*/ 600889 w 1668488"/>
            <a:gd name="csY21" fmla="*/ 175071 h 436485"/>
            <a:gd name="csX22" fmla="*/ 461180 w 1668488"/>
            <a:gd name="csY22" fmla="*/ 175070 h 436485"/>
            <a:gd name="csX23" fmla="*/ 574207 w 1668488"/>
            <a:gd name="csY23" fmla="*/ 261413 h 436485"/>
            <a:gd name="csX24" fmla="*/ 531034 w 1668488"/>
            <a:gd name="csY24" fmla="*/ 401121 h 436485"/>
            <a:gd name="csX25" fmla="*/ 644060 w 1668488"/>
            <a:gd name="csY25" fmla="*/ 314776 h 436485"/>
            <a:gd name="csX26" fmla="*/ 757086 w 1668488"/>
            <a:gd name="csY26" fmla="*/ 401121 h 436485"/>
            <a:gd name="csX27" fmla="*/ 713913 w 1668488"/>
            <a:gd name="csY27" fmla="*/ 261413 h 436485"/>
            <a:gd name="csX28" fmla="*/ 826940 w 1668488"/>
            <a:gd name="csY28" fmla="*/ 175070 h 436485"/>
            <a:gd name="csX29" fmla="*/ 687231 w 1668488"/>
            <a:gd name="csY29" fmla="*/ 175071 h 436485"/>
            <a:gd name="csX30" fmla="*/ 272116 w 1668488"/>
            <a:gd name="csY30" fmla="*/ 35362 h 436485"/>
            <a:gd name="csX31" fmla="*/ 228945 w 1668488"/>
            <a:gd name="csY31" fmla="*/ 175071 h 436485"/>
            <a:gd name="csX32" fmla="*/ 89236 w 1668488"/>
            <a:gd name="csY32" fmla="*/ 175070 h 436485"/>
            <a:gd name="csX33" fmla="*/ 202263 w 1668488"/>
            <a:gd name="csY33" fmla="*/ 261413 h 436485"/>
            <a:gd name="csX34" fmla="*/ 159090 w 1668488"/>
            <a:gd name="csY34" fmla="*/ 401121 h 436485"/>
            <a:gd name="csX35" fmla="*/ 272116 w 1668488"/>
            <a:gd name="csY35" fmla="*/ 314776 h 436485"/>
            <a:gd name="csX36" fmla="*/ 385142 w 1668488"/>
            <a:gd name="csY36" fmla="*/ 401121 h 436485"/>
            <a:gd name="csX37" fmla="*/ 341969 w 1668488"/>
            <a:gd name="csY37" fmla="*/ 261413 h 436485"/>
            <a:gd name="csX38" fmla="*/ 454996 w 1668488"/>
            <a:gd name="csY38" fmla="*/ 175070 h 436485"/>
            <a:gd name="csX39" fmla="*/ 315287 w 1668488"/>
            <a:gd name="csY39" fmla="*/ 175071 h 436485"/>
            <a:gd name="csX40" fmla="*/ 0 w 1668488"/>
            <a:gd name="csY40" fmla="*/ 0 h 436485"/>
            <a:gd name="csX41" fmla="*/ 1668488 w 1668488"/>
            <a:gd name="csY41" fmla="*/ 0 h 436485"/>
            <a:gd name="csX42" fmla="*/ 1668488 w 1668488"/>
            <a:gd name="csY42" fmla="*/ 436485 h 436485"/>
            <a:gd name="csX43" fmla="*/ 0 w 1668488"/>
            <a:gd name="csY43" fmla="*/ 436485 h 4364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668488" h="436485">
              <a:moveTo>
                <a:pt x="1387948" y="35362"/>
              </a:moveTo>
              <a:lnTo>
                <a:pt x="1344777" y="175071"/>
              </a:lnTo>
              <a:lnTo>
                <a:pt x="1205068" y="175070"/>
              </a:lnTo>
              <a:lnTo>
                <a:pt x="1318095" y="261413"/>
              </a:lnTo>
              <a:lnTo>
                <a:pt x="1274922" y="401121"/>
              </a:lnTo>
              <a:lnTo>
                <a:pt x="1387948" y="314776"/>
              </a:lnTo>
              <a:lnTo>
                <a:pt x="1500974" y="401121"/>
              </a:lnTo>
              <a:lnTo>
                <a:pt x="1457801" y="261413"/>
              </a:lnTo>
              <a:lnTo>
                <a:pt x="1570828" y="175070"/>
              </a:lnTo>
              <a:lnTo>
                <a:pt x="1431119" y="175071"/>
              </a:lnTo>
              <a:close/>
              <a:moveTo>
                <a:pt x="1016004" y="35362"/>
              </a:moveTo>
              <a:lnTo>
                <a:pt x="972833" y="175071"/>
              </a:lnTo>
              <a:lnTo>
                <a:pt x="833124" y="175070"/>
              </a:lnTo>
              <a:lnTo>
                <a:pt x="946151" y="261413"/>
              </a:lnTo>
              <a:lnTo>
                <a:pt x="902978" y="401121"/>
              </a:lnTo>
              <a:lnTo>
                <a:pt x="1016004" y="314776"/>
              </a:lnTo>
              <a:lnTo>
                <a:pt x="1129030" y="401121"/>
              </a:lnTo>
              <a:lnTo>
                <a:pt x="1085857" y="261413"/>
              </a:lnTo>
              <a:lnTo>
                <a:pt x="1198884" y="175070"/>
              </a:lnTo>
              <a:lnTo>
                <a:pt x="1059175" y="175071"/>
              </a:lnTo>
              <a:close/>
              <a:moveTo>
                <a:pt x="644060" y="35362"/>
              </a:moveTo>
              <a:lnTo>
                <a:pt x="600889" y="175071"/>
              </a:lnTo>
              <a:lnTo>
                <a:pt x="461180" y="175070"/>
              </a:lnTo>
              <a:lnTo>
                <a:pt x="574207" y="261413"/>
              </a:lnTo>
              <a:lnTo>
                <a:pt x="531034" y="401121"/>
              </a:lnTo>
              <a:lnTo>
                <a:pt x="644060" y="314776"/>
              </a:lnTo>
              <a:lnTo>
                <a:pt x="757086" y="401121"/>
              </a:lnTo>
              <a:lnTo>
                <a:pt x="713913" y="261413"/>
              </a:lnTo>
              <a:lnTo>
                <a:pt x="826940" y="175070"/>
              </a:lnTo>
              <a:lnTo>
                <a:pt x="687231" y="175071"/>
              </a:lnTo>
              <a:close/>
              <a:moveTo>
                <a:pt x="272116" y="35362"/>
              </a:moveTo>
              <a:lnTo>
                <a:pt x="228945" y="175071"/>
              </a:lnTo>
              <a:lnTo>
                <a:pt x="89236" y="175070"/>
              </a:lnTo>
              <a:lnTo>
                <a:pt x="202263" y="261413"/>
              </a:lnTo>
              <a:lnTo>
                <a:pt x="159090" y="401121"/>
              </a:lnTo>
              <a:lnTo>
                <a:pt x="272116" y="314776"/>
              </a:lnTo>
              <a:lnTo>
                <a:pt x="385142" y="401121"/>
              </a:lnTo>
              <a:lnTo>
                <a:pt x="341969" y="261413"/>
              </a:lnTo>
              <a:lnTo>
                <a:pt x="454996" y="175070"/>
              </a:lnTo>
              <a:lnTo>
                <a:pt x="315287" y="175071"/>
              </a:lnTo>
              <a:close/>
              <a:moveTo>
                <a:pt x="0" y="0"/>
              </a:moveTo>
              <a:lnTo>
                <a:pt x="1668488" y="0"/>
              </a:lnTo>
              <a:lnTo>
                <a:pt x="1668488" y="436485"/>
              </a:lnTo>
              <a:lnTo>
                <a:pt x="0" y="436485"/>
              </a:lnTo>
              <a:close/>
            </a:path>
          </a:pathLst>
        </a:cu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139700</xdr:colOff>
      <xdr:row>0</xdr:row>
      <xdr:rowOff>82551</xdr:rowOff>
    </xdr:from>
    <xdr:to>
      <xdr:col>5</xdr:col>
      <xdr:colOff>647700</xdr:colOff>
      <xdr:row>11</xdr:row>
      <xdr:rowOff>127001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10BE8664-CABE-4125-B627-C326DFCA5651}"/>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3397250" y="82551"/>
              <a:ext cx="1828800" cy="2209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139700</xdr:colOff>
      <xdr:row>12</xdr:row>
      <xdr:rowOff>44451</xdr:rowOff>
    </xdr:from>
    <xdr:to>
      <xdr:col>5</xdr:col>
      <xdr:colOff>647700</xdr:colOff>
      <xdr:row>17</xdr:row>
      <xdr:rowOff>50801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80A351B1-C183-B2AB-24A0-481A8669341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397250" y="2406651"/>
              <a:ext cx="1828800" cy="990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514350</xdr:colOff>
      <xdr:row>11</xdr:row>
      <xdr:rowOff>12698</xdr:rowOff>
    </xdr:from>
    <xdr:to>
      <xdr:col>3</xdr:col>
      <xdr:colOff>0</xdr:colOff>
      <xdr:row>20</xdr:row>
      <xdr:rowOff>69848</xdr:rowOff>
    </xdr:to>
    <xdr:graphicFrame macro="">
      <xdr:nvGraphicFramePr>
        <xdr:cNvPr id="4" name="Chart 3">
          <a:extLst>
            <a:ext uri="{FF2B5EF4-FFF2-40B4-BE49-F238E27FC236}">
              <a16:creationId xmlns:a16="http://schemas.microsoft.com/office/drawing/2014/main" id="{1F4ACA9C-83E7-12B5-A7BE-50776D85D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111125</xdr:colOff>
      <xdr:row>2</xdr:row>
      <xdr:rowOff>50800</xdr:rowOff>
    </xdr:from>
    <xdr:to>
      <xdr:col>9</xdr:col>
      <xdr:colOff>60325</xdr:colOff>
      <xdr:row>16</xdr:row>
      <xdr:rowOff>38100</xdr:rowOff>
    </xdr:to>
    <xdr:graphicFrame macro="">
      <xdr:nvGraphicFramePr>
        <xdr:cNvPr id="2" name="Chart 1">
          <a:extLst>
            <a:ext uri="{FF2B5EF4-FFF2-40B4-BE49-F238E27FC236}">
              <a16:creationId xmlns:a16="http://schemas.microsoft.com/office/drawing/2014/main" id="{3C069203-9FA9-D778-7318-787CF60B8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203200</xdr:colOff>
      <xdr:row>0</xdr:row>
      <xdr:rowOff>98425</xdr:rowOff>
    </xdr:from>
    <xdr:to>
      <xdr:col>7</xdr:col>
      <xdr:colOff>393700</xdr:colOff>
      <xdr:row>14</xdr:row>
      <xdr:rowOff>85725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FDAF1F5-AA7F-0381-19A4-F1771A5A98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51200" y="98425"/>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117475</xdr:colOff>
      <xdr:row>2</xdr:row>
      <xdr:rowOff>76200</xdr:rowOff>
    </xdr:from>
    <xdr:to>
      <xdr:col>9</xdr:col>
      <xdr:colOff>66675</xdr:colOff>
      <xdr:row>16</xdr:row>
      <xdr:rowOff>63500</xdr:rowOff>
    </xdr:to>
    <xdr:graphicFrame macro="">
      <xdr:nvGraphicFramePr>
        <xdr:cNvPr id="2" name="Chart 1">
          <a:extLst>
            <a:ext uri="{FF2B5EF4-FFF2-40B4-BE49-F238E27FC236}">
              <a16:creationId xmlns:a16="http://schemas.microsoft.com/office/drawing/2014/main" id="{AC795479-C84B-163D-8A31-B5F35629E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9</xdr:row>
      <xdr:rowOff>104775</xdr:rowOff>
    </xdr:from>
    <xdr:to>
      <xdr:col>4</xdr:col>
      <xdr:colOff>654050</xdr:colOff>
      <xdr:row>23</xdr:row>
      <xdr:rowOff>92075</xdr:rowOff>
    </xdr:to>
    <xdr:graphicFrame macro="">
      <xdr:nvGraphicFramePr>
        <xdr:cNvPr id="2" name="Chart 1">
          <a:extLst>
            <a:ext uri="{FF2B5EF4-FFF2-40B4-BE49-F238E27FC236}">
              <a16:creationId xmlns:a16="http://schemas.microsoft.com/office/drawing/2014/main" id="{E9307758-25E1-39FE-790C-CAE2D738B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342900</xdr:colOff>
      <xdr:row>6</xdr:row>
      <xdr:rowOff>85725</xdr:rowOff>
    </xdr:from>
    <xdr:to>
      <xdr:col>9</xdr:col>
      <xdr:colOff>292100</xdr:colOff>
      <xdr:row>20</xdr:row>
      <xdr:rowOff>73025</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D100DE5E-726C-D301-6E0E-99BC47764C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25700" y="1266825"/>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488950</xdr:colOff>
      <xdr:row>1</xdr:row>
      <xdr:rowOff>184150</xdr:rowOff>
    </xdr:from>
    <xdr:to>
      <xdr:col>12</xdr:col>
      <xdr:colOff>336550</xdr:colOff>
      <xdr:row>15</xdr:row>
      <xdr:rowOff>142869</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0177A9D-2F9A-017B-9FDA-9EB272A415B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194550" y="381000"/>
              <a:ext cx="1828800" cy="27146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393700</xdr:colOff>
      <xdr:row>1</xdr:row>
      <xdr:rowOff>190500</xdr:rowOff>
    </xdr:from>
    <xdr:to>
      <xdr:col>15</xdr:col>
      <xdr:colOff>241300</xdr:colOff>
      <xdr:row>15</xdr:row>
      <xdr:rowOff>149219</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046BA573-988A-C4D5-6C29-B3F4352218BC}"/>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9080500" y="387350"/>
              <a:ext cx="1828800" cy="27146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3</xdr:col>
      <xdr:colOff>102302</xdr:colOff>
      <xdr:row>1</xdr:row>
      <xdr:rowOff>10584</xdr:rowOff>
    </xdr:from>
    <xdr:ext cx="14754225" cy="7439025"/>
    <xdr:grpSp>
      <xdr:nvGrpSpPr>
        <xdr:cNvPr id="2" name="Shape 2">
          <a:extLst>
            <a:ext uri="{FF2B5EF4-FFF2-40B4-BE49-F238E27FC236}">
              <a16:creationId xmlns:a16="http://schemas.microsoft.com/office/drawing/2014/main" id="{AC2C0421-DC59-45C3-B0FE-A568CEE81FA1}"/>
            </a:ext>
          </a:extLst>
        </xdr:cNvPr>
        <xdr:cNvGrpSpPr/>
      </xdr:nvGrpSpPr>
      <xdr:grpSpPr>
        <a:xfrm>
          <a:off x="2046180" y="204972"/>
          <a:ext cx="14754225" cy="7439025"/>
          <a:chOff x="0" y="60488"/>
          <a:chExt cx="10692000" cy="7439025"/>
        </a:xfrm>
      </xdr:grpSpPr>
      <xdr:grpSp>
        <xdr:nvGrpSpPr>
          <xdr:cNvPr id="3" name="Shape 29">
            <a:extLst>
              <a:ext uri="{FF2B5EF4-FFF2-40B4-BE49-F238E27FC236}">
                <a16:creationId xmlns:a16="http://schemas.microsoft.com/office/drawing/2014/main" id="{18487212-105C-D9A1-F8E3-7A55ABDB2B1E}"/>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ECD10A05-41B8-6E9C-8CD9-E04BEB339286}"/>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B169F186-9C08-1A7E-88A1-5116A178D0CF}"/>
                </a:ext>
              </a:extLst>
            </xdr:cNvPr>
            <xdr:cNvSpPr/>
          </xdr:nvSpPr>
          <xdr:spPr>
            <a:xfrm>
              <a:off x="1752600" y="190500"/>
              <a:ext cx="13468350" cy="7776000"/>
            </a:xfrm>
            <a:prstGeom prst="roundRect">
              <a:avLst>
                <a:gd name="adj" fmla="val 1112"/>
              </a:avLst>
            </a:prstGeom>
            <a:solidFill>
              <a:schemeClr val="accent6">
                <a:lumMod val="50000"/>
              </a:schemeClr>
            </a:solidFill>
            <a:ln w="12700" cap="flat" cmpd="sng">
              <a:solidFill>
                <a:schemeClr val="accent6">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4175EAF1-04E5-0DF8-439F-89F8D06C6844}"/>
                </a:ext>
              </a:extLst>
            </xdr:cNvPr>
            <xdr:cNvSpPr/>
          </xdr:nvSpPr>
          <xdr:spPr>
            <a:xfrm>
              <a:off x="1852449" y="270899"/>
              <a:ext cx="7691601" cy="834001"/>
            </a:xfrm>
            <a:prstGeom prst="roundRect">
              <a:avLst>
                <a:gd name="adj" fmla="val 10000"/>
              </a:avLst>
            </a:prstGeom>
            <a:solidFill>
              <a:schemeClr val="lt1">
                <a:alpha val="97000"/>
              </a:schemeClr>
            </a:solidFill>
            <a:ln w="12700" cap="flat" cmpd="sng">
              <a:solidFill>
                <a:schemeClr val="accent6">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A8FDCA30-2B7F-BC1B-BE9F-2533396D79F9}"/>
                </a:ext>
              </a:extLst>
            </xdr:cNvPr>
            <xdr:cNvSpPr/>
          </xdr:nvSpPr>
          <xdr:spPr>
            <a:xfrm>
              <a:off x="9658349" y="270899"/>
              <a:ext cx="5467351" cy="834001"/>
            </a:xfrm>
            <a:prstGeom prst="roundRect">
              <a:avLst>
                <a:gd name="adj" fmla="val 10000"/>
              </a:avLst>
            </a:prstGeom>
            <a:solidFill>
              <a:schemeClr val="lt1">
                <a:alpha val="97000"/>
              </a:schemeClr>
            </a:solidFill>
            <a:ln w="12700" cap="flat" cmpd="sng">
              <a:solidFill>
                <a:schemeClr val="accent6">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663867AC-0AB1-F498-1B44-0A093F113F39}"/>
                </a:ext>
              </a:extLst>
            </xdr:cNvPr>
            <xdr:cNvSpPr/>
          </xdr:nvSpPr>
          <xdr:spPr>
            <a:xfrm>
              <a:off x="5819774" y="2304895"/>
              <a:ext cx="4819651" cy="2772878"/>
            </a:xfrm>
            <a:prstGeom prst="roundRect">
              <a:avLst>
                <a:gd name="adj" fmla="val 3303"/>
              </a:avLst>
            </a:prstGeom>
            <a:solidFill>
              <a:schemeClr val="lt1">
                <a:alpha val="97000"/>
              </a:schemeClr>
            </a:solidFill>
            <a:ln w="12700" cap="flat" cmpd="sng">
              <a:solidFill>
                <a:schemeClr val="accent6">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92463CD9-45DE-52DF-B518-4215B6126FF6}"/>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0BF91493-42ED-0A26-BB2A-EEA7A33F76A3}"/>
                  </a:ext>
                </a:extLst>
              </xdr:cNvPr>
              <xdr:cNvSpPr/>
            </xdr:nvSpPr>
            <xdr:spPr>
              <a:xfrm>
                <a:off x="1846116" y="1215714"/>
                <a:ext cx="2602058" cy="998848"/>
              </a:xfrm>
              <a:prstGeom prst="roundRect">
                <a:avLst>
                  <a:gd name="adj" fmla="val 6048"/>
                </a:avLst>
              </a:prstGeom>
              <a:solidFill>
                <a:schemeClr val="lt1">
                  <a:alpha val="97000"/>
                </a:schemeClr>
              </a:solidFill>
              <a:ln w="12700" cap="flat" cmpd="sng">
                <a:solidFill>
                  <a:schemeClr val="accent6">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C09A033E-5185-91F7-DAE5-B1CD4D8BD9E4}"/>
                  </a:ext>
                </a:extLst>
              </xdr:cNvPr>
              <xdr:cNvSpPr/>
            </xdr:nvSpPr>
            <xdr:spPr>
              <a:xfrm>
                <a:off x="4546454" y="1215714"/>
                <a:ext cx="2602058" cy="998848"/>
              </a:xfrm>
              <a:prstGeom prst="roundRect">
                <a:avLst>
                  <a:gd name="adj" fmla="val 6048"/>
                </a:avLst>
              </a:prstGeom>
              <a:solidFill>
                <a:schemeClr val="lt1">
                  <a:alpha val="97000"/>
                </a:schemeClr>
              </a:solidFill>
              <a:ln w="12700" cap="flat" cmpd="sng">
                <a:solidFill>
                  <a:schemeClr val="accent6">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530EF529-15CC-2573-0983-20ED62C92F2C}"/>
                  </a:ext>
                </a:extLst>
              </xdr:cNvPr>
              <xdr:cNvSpPr/>
            </xdr:nvSpPr>
            <xdr:spPr>
              <a:xfrm>
                <a:off x="7246792" y="1215714"/>
                <a:ext cx="2602058" cy="998848"/>
              </a:xfrm>
              <a:prstGeom prst="roundRect">
                <a:avLst>
                  <a:gd name="adj" fmla="val 6048"/>
                </a:avLst>
              </a:prstGeom>
              <a:solidFill>
                <a:schemeClr val="lt1">
                  <a:alpha val="97000"/>
                </a:schemeClr>
              </a:solidFill>
              <a:ln w="12700" cap="flat" cmpd="sng">
                <a:solidFill>
                  <a:schemeClr val="accent6">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9F894DB0-4C7C-9271-895F-4E6E3E5D5102}"/>
                  </a:ext>
                </a:extLst>
              </xdr:cNvPr>
              <xdr:cNvSpPr/>
            </xdr:nvSpPr>
            <xdr:spPr>
              <a:xfrm>
                <a:off x="9947130" y="1215714"/>
                <a:ext cx="2602058" cy="998848"/>
              </a:xfrm>
              <a:prstGeom prst="roundRect">
                <a:avLst>
                  <a:gd name="adj" fmla="val 6048"/>
                </a:avLst>
              </a:prstGeom>
              <a:solidFill>
                <a:schemeClr val="lt1">
                  <a:alpha val="97000"/>
                </a:schemeClr>
              </a:solidFill>
              <a:ln w="12700" cap="flat" cmpd="sng">
                <a:solidFill>
                  <a:schemeClr val="accent6">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46C0F08B-9D4D-CD0D-96A7-96241B2CA7FA}"/>
                  </a:ext>
                </a:extLst>
              </xdr:cNvPr>
              <xdr:cNvSpPr/>
            </xdr:nvSpPr>
            <xdr:spPr>
              <a:xfrm>
                <a:off x="12647467" y="1215714"/>
                <a:ext cx="2602058" cy="998848"/>
              </a:xfrm>
              <a:prstGeom prst="roundRect">
                <a:avLst>
                  <a:gd name="adj" fmla="val 6048"/>
                </a:avLst>
              </a:prstGeom>
              <a:solidFill>
                <a:schemeClr val="lt1">
                  <a:alpha val="97000"/>
                </a:schemeClr>
              </a:solidFill>
              <a:ln w="12700" cap="flat" cmpd="sng">
                <a:solidFill>
                  <a:schemeClr val="accent6">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4C26F9C8-6D49-0E53-B3C8-1E00D4F3A000}"/>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5533B9E3-D208-3E3A-F8D6-06A67044EEA5}"/>
                  </a:ext>
                </a:extLst>
              </xdr:cNvPr>
              <xdr:cNvSpPr/>
            </xdr:nvSpPr>
            <xdr:spPr>
              <a:xfrm>
                <a:off x="1847145" y="2304895"/>
                <a:ext cx="3867930" cy="2772878"/>
              </a:xfrm>
              <a:prstGeom prst="roundRect">
                <a:avLst>
                  <a:gd name="adj" fmla="val 3303"/>
                </a:avLst>
              </a:prstGeom>
              <a:solidFill>
                <a:schemeClr val="lt1">
                  <a:alpha val="97000"/>
                </a:schemeClr>
              </a:solidFill>
              <a:ln w="12700" cap="flat" cmpd="sng">
                <a:solidFill>
                  <a:schemeClr val="accent6">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566413E5-6C32-DA2F-425B-BCEED5931420}"/>
                  </a:ext>
                </a:extLst>
              </xdr:cNvPr>
              <xdr:cNvCxnSpPr/>
            </xdr:nvCxnSpPr>
            <xdr:spPr>
              <a:xfrm rot="10800000" flipH="1">
                <a:off x="1963706" y="2678637"/>
                <a:ext cx="3608419" cy="5300"/>
              </a:xfrm>
              <a:prstGeom prst="straightConnector1">
                <a:avLst/>
              </a:prstGeom>
              <a:noFill/>
              <a:ln w="12700" cap="flat" cmpd="sng">
                <a:solidFill>
                  <a:schemeClr val="accent6">
                    <a:lumMod val="50000"/>
                  </a:schemeClr>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1A9D0118-B4FB-3738-FE35-84897A74AA5B}"/>
                </a:ext>
              </a:extLst>
            </xdr:cNvPr>
            <xdr:cNvCxnSpPr/>
          </xdr:nvCxnSpPr>
          <xdr:spPr>
            <a:xfrm flipH="1">
              <a:off x="6021356" y="2667000"/>
              <a:ext cx="4464000" cy="2650"/>
            </a:xfrm>
            <a:prstGeom prst="straightConnector1">
              <a:avLst/>
            </a:prstGeom>
            <a:noFill/>
            <a:ln w="12700" cap="flat" cmpd="sng">
              <a:solidFill>
                <a:schemeClr val="accent6">
                  <a:lumMod val="50000"/>
                </a:schemeClr>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A5BAC6B8-3FA2-AC3C-2A95-A80AF52CAF96}"/>
                </a:ext>
              </a:extLst>
            </xdr:cNvPr>
            <xdr:cNvSpPr/>
          </xdr:nvSpPr>
          <xdr:spPr>
            <a:xfrm>
              <a:off x="10744199" y="2304895"/>
              <a:ext cx="4381501" cy="2772878"/>
            </a:xfrm>
            <a:prstGeom prst="roundRect">
              <a:avLst>
                <a:gd name="adj" fmla="val 3303"/>
              </a:avLst>
            </a:prstGeom>
            <a:solidFill>
              <a:schemeClr val="lt1">
                <a:alpha val="97000"/>
              </a:schemeClr>
            </a:solidFill>
            <a:ln w="12700" cap="flat" cmpd="sng">
              <a:solidFill>
                <a:schemeClr val="accent6">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577AB244-BBAE-EF5E-FD5B-EADA2FA26E8C}"/>
                </a:ext>
              </a:extLst>
            </xdr:cNvPr>
            <xdr:cNvCxnSpPr/>
          </xdr:nvCxnSpPr>
          <xdr:spPr>
            <a:xfrm rot="10800000" flipH="1">
              <a:off x="10917205" y="2678637"/>
              <a:ext cx="4068000" cy="5300"/>
            </a:xfrm>
            <a:prstGeom prst="straightConnector1">
              <a:avLst/>
            </a:prstGeom>
            <a:noFill/>
            <a:ln w="12700" cap="flat" cmpd="sng">
              <a:solidFill>
                <a:schemeClr val="accent6">
                  <a:lumMod val="50000"/>
                </a:schemeClr>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24D5AEC4-66E9-31FF-343E-7FC43DE222C2}"/>
                </a:ext>
              </a:extLst>
            </xdr:cNvPr>
            <xdr:cNvSpPr/>
          </xdr:nvSpPr>
          <xdr:spPr>
            <a:xfrm>
              <a:off x="1847145" y="2314575"/>
              <a:ext cx="3867930" cy="2754668"/>
            </a:xfrm>
            <a:prstGeom prst="roundRect">
              <a:avLst>
                <a:gd name="adj" fmla="val 3303"/>
              </a:avLst>
            </a:prstGeom>
            <a:solidFill>
              <a:schemeClr val="lt1">
                <a:alpha val="97000"/>
              </a:schemeClr>
            </a:solidFill>
            <a:ln w="12700" cap="flat" cmpd="sng">
              <a:solidFill>
                <a:schemeClr val="accent6">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A6B8D4F4-9E39-3518-8C35-E731232F28E2}"/>
                </a:ext>
              </a:extLst>
            </xdr:cNvPr>
            <xdr:cNvCxnSpPr/>
          </xdr:nvCxnSpPr>
          <xdr:spPr>
            <a:xfrm rot="10800000" flipH="1">
              <a:off x="1963706" y="2666813"/>
              <a:ext cx="3608419" cy="5265"/>
            </a:xfrm>
            <a:prstGeom prst="straightConnector1">
              <a:avLst/>
            </a:prstGeom>
            <a:noFill/>
            <a:ln w="12700" cap="flat" cmpd="sng">
              <a:solidFill>
                <a:schemeClr val="accent6">
                  <a:lumMod val="50000"/>
                </a:schemeClr>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6570430A-BE2D-1DF6-500A-CB579160DBFD}"/>
                </a:ext>
              </a:extLst>
            </xdr:cNvPr>
            <xdr:cNvSpPr/>
          </xdr:nvSpPr>
          <xdr:spPr>
            <a:xfrm>
              <a:off x="5809545" y="5162550"/>
              <a:ext cx="3564000" cy="2709509"/>
            </a:xfrm>
            <a:prstGeom prst="roundRect">
              <a:avLst>
                <a:gd name="adj" fmla="val 3303"/>
              </a:avLst>
            </a:prstGeom>
            <a:solidFill>
              <a:schemeClr val="lt1">
                <a:alpha val="97000"/>
              </a:schemeClr>
            </a:solidFill>
            <a:ln w="12700" cap="flat" cmpd="sng">
              <a:solidFill>
                <a:schemeClr val="accent6">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8764F3EA-BB4E-6A02-E397-587621B6AC9D}"/>
                </a:ext>
              </a:extLst>
            </xdr:cNvPr>
            <xdr:cNvCxnSpPr/>
          </xdr:nvCxnSpPr>
          <xdr:spPr>
            <a:xfrm rot="10800000" flipH="1">
              <a:off x="6009569" y="5524500"/>
              <a:ext cx="3096000" cy="5179"/>
            </a:xfrm>
            <a:prstGeom prst="straightConnector1">
              <a:avLst/>
            </a:prstGeom>
            <a:noFill/>
            <a:ln w="12700" cap="flat" cmpd="sng">
              <a:solidFill>
                <a:schemeClr val="accent6">
                  <a:lumMod val="50000"/>
                </a:schemeClr>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FBC34FCE-999A-F280-B250-3E5933C98D38}"/>
                </a:ext>
              </a:extLst>
            </xdr:cNvPr>
            <xdr:cNvSpPr/>
          </xdr:nvSpPr>
          <xdr:spPr>
            <a:xfrm>
              <a:off x="9467145" y="5162550"/>
              <a:ext cx="2844000" cy="2700000"/>
            </a:xfrm>
            <a:prstGeom prst="roundRect">
              <a:avLst>
                <a:gd name="adj" fmla="val 3303"/>
              </a:avLst>
            </a:prstGeom>
            <a:solidFill>
              <a:schemeClr val="lt1">
                <a:alpha val="97000"/>
              </a:schemeClr>
            </a:solidFill>
            <a:ln w="12700" cap="flat" cmpd="sng">
              <a:solidFill>
                <a:schemeClr val="accent6">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75201610-1F82-08BC-6806-B07E148AB105}"/>
                </a:ext>
              </a:extLst>
            </xdr:cNvPr>
            <xdr:cNvCxnSpPr/>
          </xdr:nvCxnSpPr>
          <xdr:spPr>
            <a:xfrm rot="10800000" flipH="1">
              <a:off x="9686219" y="5524500"/>
              <a:ext cx="2448000" cy="5179"/>
            </a:xfrm>
            <a:prstGeom prst="straightConnector1">
              <a:avLst/>
            </a:prstGeom>
            <a:noFill/>
            <a:ln w="12700" cap="flat" cmpd="sng">
              <a:solidFill>
                <a:schemeClr val="accent6">
                  <a:lumMod val="50000"/>
                </a:schemeClr>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D338C263-69A8-8EBD-8A54-7D0D780D6756}"/>
                </a:ext>
              </a:extLst>
            </xdr:cNvPr>
            <xdr:cNvSpPr/>
          </xdr:nvSpPr>
          <xdr:spPr>
            <a:xfrm>
              <a:off x="12419895" y="5162550"/>
              <a:ext cx="2700000" cy="2700000"/>
            </a:xfrm>
            <a:prstGeom prst="roundRect">
              <a:avLst>
                <a:gd name="adj" fmla="val 3303"/>
              </a:avLst>
            </a:prstGeom>
            <a:solidFill>
              <a:schemeClr val="lt1">
                <a:alpha val="97000"/>
              </a:schemeClr>
            </a:solidFill>
            <a:ln w="12700" cap="flat" cmpd="sng">
              <a:solidFill>
                <a:schemeClr val="accent6">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11889871-3FC4-4C7B-C324-35D06BE5A31C}"/>
                </a:ext>
              </a:extLst>
            </xdr:cNvPr>
            <xdr:cNvCxnSpPr/>
          </xdr:nvCxnSpPr>
          <xdr:spPr>
            <a:xfrm rot="10800000" flipH="1">
              <a:off x="12543719" y="5514975"/>
              <a:ext cx="2448000" cy="5179"/>
            </a:xfrm>
            <a:prstGeom prst="straightConnector1">
              <a:avLst/>
            </a:prstGeom>
            <a:noFill/>
            <a:ln w="12700" cap="flat" cmpd="sng">
              <a:solidFill>
                <a:schemeClr val="accent6">
                  <a:lumMod val="50000"/>
                </a:schemeClr>
              </a:solidFill>
              <a:prstDash val="solid"/>
              <a:miter lim="800000"/>
              <a:headEnd type="none" w="sm" len="sm"/>
              <a:tailEnd type="none" w="sm" len="sm"/>
            </a:ln>
          </xdr:spPr>
        </xdr:cxnSp>
      </xdr:grpSp>
    </xdr:grpSp>
    <xdr:clientData fLocksWithSheet="0"/>
  </xdr:oneCellAnchor>
  <xdr:twoCellAnchor>
    <xdr:from>
      <xdr:col>3</xdr:col>
      <xdr:colOff>214391</xdr:colOff>
      <xdr:row>6</xdr:row>
      <xdr:rowOff>68357</xdr:rowOff>
    </xdr:from>
    <xdr:to>
      <xdr:col>6</xdr:col>
      <xdr:colOff>441177</xdr:colOff>
      <xdr:row>7</xdr:row>
      <xdr:rowOff>188147</xdr:rowOff>
    </xdr:to>
    <xdr:sp macro="" textlink="">
      <xdr:nvSpPr>
        <xdr:cNvPr id="29" name="TextBox 28">
          <a:extLst>
            <a:ext uri="{FF2B5EF4-FFF2-40B4-BE49-F238E27FC236}">
              <a16:creationId xmlns:a16="http://schemas.microsoft.com/office/drawing/2014/main" id="{F38BFD66-2D54-5BD2-D459-991F62C68A0F}"/>
            </a:ext>
          </a:extLst>
        </xdr:cNvPr>
        <xdr:cNvSpPr txBox="1"/>
      </xdr:nvSpPr>
      <xdr:spPr>
        <a:xfrm>
          <a:off x="2166428" y="1197246"/>
          <a:ext cx="2178823" cy="307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Total Employees</a:t>
          </a:r>
        </a:p>
      </xdr:txBody>
    </xdr:sp>
    <xdr:clientData/>
  </xdr:twoCellAnchor>
  <xdr:twoCellAnchor>
    <xdr:from>
      <xdr:col>3</xdr:col>
      <xdr:colOff>214391</xdr:colOff>
      <xdr:row>8</xdr:row>
      <xdr:rowOff>48846</xdr:rowOff>
    </xdr:from>
    <xdr:to>
      <xdr:col>7</xdr:col>
      <xdr:colOff>421733</xdr:colOff>
      <xdr:row>10</xdr:row>
      <xdr:rowOff>23837</xdr:rowOff>
    </xdr:to>
    <xdr:sp macro="" textlink="KPI!A8">
      <xdr:nvSpPr>
        <xdr:cNvPr id="30" name="TextBox 29">
          <a:extLst>
            <a:ext uri="{FF2B5EF4-FFF2-40B4-BE49-F238E27FC236}">
              <a16:creationId xmlns:a16="http://schemas.microsoft.com/office/drawing/2014/main" id="{AE1815BA-1A1A-D6FE-F722-71AF6CCCBFF8}"/>
            </a:ext>
          </a:extLst>
        </xdr:cNvPr>
        <xdr:cNvSpPr txBox="1"/>
      </xdr:nvSpPr>
      <xdr:spPr>
        <a:xfrm>
          <a:off x="2178006" y="1611923"/>
          <a:ext cx="2825496"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6F38D2-92E3-49C0-BF5A-145EC8D0FC39}" type="TxLink">
            <a:rPr lang="en-US" sz="2400" b="0" i="0" u="none" strike="noStrike">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GB" sz="2400">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521266</xdr:colOff>
      <xdr:row>6</xdr:row>
      <xdr:rowOff>68357</xdr:rowOff>
    </xdr:from>
    <xdr:to>
      <xdr:col>11</xdr:col>
      <xdr:colOff>97177</xdr:colOff>
      <xdr:row>7</xdr:row>
      <xdr:rowOff>188147</xdr:rowOff>
    </xdr:to>
    <xdr:sp macro="" textlink="">
      <xdr:nvSpPr>
        <xdr:cNvPr id="33" name="TextBox 32">
          <a:extLst>
            <a:ext uri="{FF2B5EF4-FFF2-40B4-BE49-F238E27FC236}">
              <a16:creationId xmlns:a16="http://schemas.microsoft.com/office/drawing/2014/main" id="{5248B00A-54DD-4B2B-B702-545D750A528A}"/>
            </a:ext>
          </a:extLst>
        </xdr:cNvPr>
        <xdr:cNvSpPr txBox="1"/>
      </xdr:nvSpPr>
      <xdr:spPr>
        <a:xfrm>
          <a:off x="5076019" y="1197246"/>
          <a:ext cx="2178627" cy="307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7</xdr:col>
      <xdr:colOff>521266</xdr:colOff>
      <xdr:row>8</xdr:row>
      <xdr:rowOff>48846</xdr:rowOff>
    </xdr:from>
    <xdr:to>
      <xdr:col>12</xdr:col>
      <xdr:colOff>74069</xdr:colOff>
      <xdr:row>10</xdr:row>
      <xdr:rowOff>23837</xdr:rowOff>
    </xdr:to>
    <xdr:sp macro="" textlink="KPI!B8">
      <xdr:nvSpPr>
        <xdr:cNvPr id="34" name="TextBox 33">
          <a:extLst>
            <a:ext uri="{FF2B5EF4-FFF2-40B4-BE49-F238E27FC236}">
              <a16:creationId xmlns:a16="http://schemas.microsoft.com/office/drawing/2014/main" id="{FF52AC6A-A114-85AB-BA96-1E4F39E1D9CE}"/>
            </a:ext>
          </a:extLst>
        </xdr:cNvPr>
        <xdr:cNvSpPr txBox="1"/>
      </xdr:nvSpPr>
      <xdr:spPr>
        <a:xfrm>
          <a:off x="5103035" y="1611923"/>
          <a:ext cx="2825496"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41ABAE-F21F-415C-9006-D7179B920B05}" type="TxLink">
            <a:rPr lang="en-US" sz="2400" b="0" i="0" u="none" strike="noStrike">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GB" sz="2400">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183371</xdr:colOff>
      <xdr:row>6</xdr:row>
      <xdr:rowOff>68357</xdr:rowOff>
    </xdr:from>
    <xdr:to>
      <xdr:col>15</xdr:col>
      <xdr:colOff>410157</xdr:colOff>
      <xdr:row>7</xdr:row>
      <xdr:rowOff>188147</xdr:rowOff>
    </xdr:to>
    <xdr:sp macro="" textlink="">
      <xdr:nvSpPr>
        <xdr:cNvPr id="35" name="TextBox 34">
          <a:extLst>
            <a:ext uri="{FF2B5EF4-FFF2-40B4-BE49-F238E27FC236}">
              <a16:creationId xmlns:a16="http://schemas.microsoft.com/office/drawing/2014/main" id="{03433FA0-2A43-7A43-F4C6-E958842C0350}"/>
            </a:ext>
          </a:extLst>
        </xdr:cNvPr>
        <xdr:cNvSpPr txBox="1"/>
      </xdr:nvSpPr>
      <xdr:spPr>
        <a:xfrm>
          <a:off x="7991519" y="1197246"/>
          <a:ext cx="2178823" cy="307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Active</a:t>
          </a:r>
          <a:r>
            <a:rPr lang="en-GB" sz="1700" baseline="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 Employees</a:t>
          </a:r>
          <a:endPar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183371</xdr:colOff>
      <xdr:row>8</xdr:row>
      <xdr:rowOff>48846</xdr:rowOff>
    </xdr:from>
    <xdr:to>
      <xdr:col>16</xdr:col>
      <xdr:colOff>390714</xdr:colOff>
      <xdr:row>10</xdr:row>
      <xdr:rowOff>23837</xdr:rowOff>
    </xdr:to>
    <xdr:sp macro="" textlink="KPI!D8">
      <xdr:nvSpPr>
        <xdr:cNvPr id="36" name="TextBox 35">
          <a:extLst>
            <a:ext uri="{FF2B5EF4-FFF2-40B4-BE49-F238E27FC236}">
              <a16:creationId xmlns:a16="http://schemas.microsoft.com/office/drawing/2014/main" id="{A95DF886-001C-ACAA-2884-56E59DE4B368}"/>
            </a:ext>
          </a:extLst>
        </xdr:cNvPr>
        <xdr:cNvSpPr txBox="1"/>
      </xdr:nvSpPr>
      <xdr:spPr>
        <a:xfrm>
          <a:off x="8037833" y="1611923"/>
          <a:ext cx="2825496"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CCC88E-D5B9-4485-8C32-CAA005543898}" type="TxLink">
            <a:rPr lang="en-US" sz="2400" b="0" i="0" u="none" strike="noStrike">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GB" sz="2400">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509785</xdr:colOff>
      <xdr:row>6</xdr:row>
      <xdr:rowOff>68357</xdr:rowOff>
    </xdr:from>
    <xdr:to>
      <xdr:col>20</xdr:col>
      <xdr:colOff>85696</xdr:colOff>
      <xdr:row>7</xdr:row>
      <xdr:rowOff>188147</xdr:rowOff>
    </xdr:to>
    <xdr:sp macro="" textlink="">
      <xdr:nvSpPr>
        <xdr:cNvPr id="37" name="TextBox 36">
          <a:extLst>
            <a:ext uri="{FF2B5EF4-FFF2-40B4-BE49-F238E27FC236}">
              <a16:creationId xmlns:a16="http://schemas.microsoft.com/office/drawing/2014/main" id="{F1DA397D-D3B1-36FF-37E1-BE2B08D1D616}"/>
            </a:ext>
          </a:extLst>
        </xdr:cNvPr>
        <xdr:cNvSpPr txBox="1"/>
      </xdr:nvSpPr>
      <xdr:spPr>
        <a:xfrm>
          <a:off x="10920649" y="1197246"/>
          <a:ext cx="2178627" cy="307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Attrition Rate</a:t>
          </a:r>
        </a:p>
      </xdr:txBody>
    </xdr:sp>
    <xdr:clientData/>
  </xdr:twoCellAnchor>
  <xdr:twoCellAnchor>
    <xdr:from>
      <xdr:col>16</xdr:col>
      <xdr:colOff>509785</xdr:colOff>
      <xdr:row>8</xdr:row>
      <xdr:rowOff>48846</xdr:rowOff>
    </xdr:from>
    <xdr:to>
      <xdr:col>21</xdr:col>
      <xdr:colOff>62588</xdr:colOff>
      <xdr:row>10</xdr:row>
      <xdr:rowOff>23837</xdr:rowOff>
    </xdr:to>
    <xdr:sp macro="" textlink="KPI!E8">
      <xdr:nvSpPr>
        <xdr:cNvPr id="38" name="TextBox 37">
          <a:extLst>
            <a:ext uri="{FF2B5EF4-FFF2-40B4-BE49-F238E27FC236}">
              <a16:creationId xmlns:a16="http://schemas.microsoft.com/office/drawing/2014/main" id="{4AC0DF74-F268-B487-6850-04450A1F3F2E}"/>
            </a:ext>
          </a:extLst>
        </xdr:cNvPr>
        <xdr:cNvSpPr txBox="1"/>
      </xdr:nvSpPr>
      <xdr:spPr>
        <a:xfrm>
          <a:off x="10982400" y="1611923"/>
          <a:ext cx="2825496"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790F9A-F870-486F-ADDB-C9FF81AB0F64}" type="TxLink">
            <a:rPr lang="en-US" sz="2400" b="0" i="0" u="none" strike="noStrike">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GB" sz="2400">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162121</xdr:colOff>
      <xdr:row>6</xdr:row>
      <xdr:rowOff>68357</xdr:rowOff>
    </xdr:from>
    <xdr:to>
      <xdr:col>24</xdr:col>
      <xdr:colOff>388907</xdr:colOff>
      <xdr:row>7</xdr:row>
      <xdr:rowOff>188147</xdr:rowOff>
    </xdr:to>
    <xdr:sp macro="" textlink="">
      <xdr:nvSpPr>
        <xdr:cNvPr id="39" name="TextBox 38">
          <a:extLst>
            <a:ext uri="{FF2B5EF4-FFF2-40B4-BE49-F238E27FC236}">
              <a16:creationId xmlns:a16="http://schemas.microsoft.com/office/drawing/2014/main" id="{0E126764-567E-6304-6CDB-2B532DAF5E23}"/>
            </a:ext>
          </a:extLst>
        </xdr:cNvPr>
        <xdr:cNvSpPr txBox="1"/>
      </xdr:nvSpPr>
      <xdr:spPr>
        <a:xfrm>
          <a:off x="13826380" y="1197246"/>
          <a:ext cx="2178823" cy="307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Average Age</a:t>
          </a:r>
        </a:p>
      </xdr:txBody>
    </xdr:sp>
    <xdr:clientData/>
  </xdr:twoCellAnchor>
  <xdr:twoCellAnchor>
    <xdr:from>
      <xdr:col>21</xdr:col>
      <xdr:colOff>162121</xdr:colOff>
      <xdr:row>8</xdr:row>
      <xdr:rowOff>48846</xdr:rowOff>
    </xdr:from>
    <xdr:to>
      <xdr:col>25</xdr:col>
      <xdr:colOff>369463</xdr:colOff>
      <xdr:row>10</xdr:row>
      <xdr:rowOff>23837</xdr:rowOff>
    </xdr:to>
    <xdr:sp macro="" textlink="KPI!C8">
      <xdr:nvSpPr>
        <xdr:cNvPr id="40" name="TextBox 39">
          <a:extLst>
            <a:ext uri="{FF2B5EF4-FFF2-40B4-BE49-F238E27FC236}">
              <a16:creationId xmlns:a16="http://schemas.microsoft.com/office/drawing/2014/main" id="{5CBD6270-8F36-A22B-D78A-4C5CA2012B8B}"/>
            </a:ext>
          </a:extLst>
        </xdr:cNvPr>
        <xdr:cNvSpPr txBox="1"/>
      </xdr:nvSpPr>
      <xdr:spPr>
        <a:xfrm>
          <a:off x="13907429" y="1611923"/>
          <a:ext cx="2825496"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F3DDDC-E05C-4231-82CD-1F735974E69B}" type="TxLink">
            <a:rPr lang="en-US" sz="2400" b="0" i="0" u="none" strike="noStrike">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GB" sz="2400">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24</xdr:col>
      <xdr:colOff>443826</xdr:colOff>
      <xdr:row>6</xdr:row>
      <xdr:rowOff>89121</xdr:rowOff>
    </xdr:from>
    <xdr:to>
      <xdr:col>25</xdr:col>
      <xdr:colOff>243348</xdr:colOff>
      <xdr:row>8</xdr:row>
      <xdr:rowOff>168735</xdr:rowOff>
    </xdr:to>
    <xdr:pic>
      <xdr:nvPicPr>
        <xdr:cNvPr id="58" name="Picture 57">
          <a:extLst>
            <a:ext uri="{FF2B5EF4-FFF2-40B4-BE49-F238E27FC236}">
              <a16:creationId xmlns:a16="http://schemas.microsoft.com/office/drawing/2014/main" id="{A893849B-903D-42B6-B199-BF909B14A5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28112" y="1245728"/>
          <a:ext cx="457200" cy="465150"/>
        </a:xfrm>
        <a:prstGeom prst="rect">
          <a:avLst/>
        </a:prstGeom>
      </xdr:spPr>
    </xdr:pic>
    <xdr:clientData/>
  </xdr:twoCellAnchor>
  <xdr:twoCellAnchor editAs="oneCell">
    <xdr:from>
      <xdr:col>20</xdr:col>
      <xdr:colOff>131377</xdr:colOff>
      <xdr:row>6</xdr:row>
      <xdr:rowOff>89120</xdr:rowOff>
    </xdr:from>
    <xdr:to>
      <xdr:col>20</xdr:col>
      <xdr:colOff>588577</xdr:colOff>
      <xdr:row>8</xdr:row>
      <xdr:rowOff>169239</xdr:rowOff>
    </xdr:to>
    <xdr:pic>
      <xdr:nvPicPr>
        <xdr:cNvPr id="59" name="Picture 58">
          <a:extLst>
            <a:ext uri="{FF2B5EF4-FFF2-40B4-BE49-F238E27FC236}">
              <a16:creationId xmlns:a16="http://schemas.microsoft.com/office/drawing/2014/main" id="{09F746F3-2156-4A99-B6AF-AE012FE17A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3284948" y="1245727"/>
          <a:ext cx="457200" cy="465655"/>
        </a:xfrm>
        <a:prstGeom prst="rect">
          <a:avLst/>
        </a:prstGeom>
      </xdr:spPr>
    </xdr:pic>
    <xdr:clientData/>
  </xdr:twoCellAnchor>
  <xdr:twoCellAnchor editAs="oneCell">
    <xdr:from>
      <xdr:col>15</xdr:col>
      <xdr:colOff>509634</xdr:colOff>
      <xdr:row>6</xdr:row>
      <xdr:rowOff>89121</xdr:rowOff>
    </xdr:from>
    <xdr:to>
      <xdr:col>16</xdr:col>
      <xdr:colOff>309156</xdr:colOff>
      <xdr:row>8</xdr:row>
      <xdr:rowOff>168735</xdr:rowOff>
    </xdr:to>
    <xdr:pic>
      <xdr:nvPicPr>
        <xdr:cNvPr id="60" name="Picture 59">
          <a:extLst>
            <a:ext uri="{FF2B5EF4-FFF2-40B4-BE49-F238E27FC236}">
              <a16:creationId xmlns:a16="http://schemas.microsoft.com/office/drawing/2014/main" id="{0A679B16-F4A9-4E09-915D-65924A5A77E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374813" y="1245728"/>
          <a:ext cx="457200" cy="465150"/>
        </a:xfrm>
        <a:prstGeom prst="rect">
          <a:avLst/>
        </a:prstGeom>
      </xdr:spPr>
    </xdr:pic>
    <xdr:clientData/>
  </xdr:twoCellAnchor>
  <xdr:twoCellAnchor editAs="oneCell">
    <xdr:from>
      <xdr:col>11</xdr:col>
      <xdr:colOff>186043</xdr:colOff>
      <xdr:row>6</xdr:row>
      <xdr:rowOff>89120</xdr:rowOff>
    </xdr:from>
    <xdr:to>
      <xdr:col>11</xdr:col>
      <xdr:colOff>643243</xdr:colOff>
      <xdr:row>8</xdr:row>
      <xdr:rowOff>158209</xdr:rowOff>
    </xdr:to>
    <xdr:pic>
      <xdr:nvPicPr>
        <xdr:cNvPr id="61" name="Picture 60">
          <a:extLst>
            <a:ext uri="{FF2B5EF4-FFF2-40B4-BE49-F238E27FC236}">
              <a16:creationId xmlns:a16="http://schemas.microsoft.com/office/drawing/2014/main" id="{A2F5CF42-91DD-4665-AC18-C98C6DC7BEC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420507" y="1245727"/>
          <a:ext cx="457200" cy="454625"/>
        </a:xfrm>
        <a:prstGeom prst="rect">
          <a:avLst/>
        </a:prstGeom>
      </xdr:spPr>
    </xdr:pic>
    <xdr:clientData/>
  </xdr:twoCellAnchor>
  <xdr:twoCellAnchor editAs="oneCell">
    <xdr:from>
      <xdr:col>6</xdr:col>
      <xdr:colOff>542015</xdr:colOff>
      <xdr:row>6</xdr:row>
      <xdr:rowOff>89121</xdr:rowOff>
    </xdr:from>
    <xdr:to>
      <xdr:col>7</xdr:col>
      <xdr:colOff>341536</xdr:colOff>
      <xdr:row>8</xdr:row>
      <xdr:rowOff>168735</xdr:rowOff>
    </xdr:to>
    <xdr:pic>
      <xdr:nvPicPr>
        <xdr:cNvPr id="62" name="Picture 61">
          <a:extLst>
            <a:ext uri="{FF2B5EF4-FFF2-40B4-BE49-F238E27FC236}">
              <a16:creationId xmlns:a16="http://schemas.microsoft.com/office/drawing/2014/main" id="{08F53047-22A8-4333-B8B7-C05C548EE48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488086" y="1245728"/>
          <a:ext cx="457200" cy="465150"/>
        </a:xfrm>
        <a:prstGeom prst="rect">
          <a:avLst/>
        </a:prstGeom>
      </xdr:spPr>
    </xdr:pic>
    <xdr:clientData/>
  </xdr:twoCellAnchor>
  <xdr:twoCellAnchor>
    <xdr:from>
      <xdr:col>4</xdr:col>
      <xdr:colOff>532947</xdr:colOff>
      <xdr:row>1</xdr:row>
      <xdr:rowOff>149559</xdr:rowOff>
    </xdr:from>
    <xdr:to>
      <xdr:col>15</xdr:col>
      <xdr:colOff>600982</xdr:colOff>
      <xdr:row>5</xdr:row>
      <xdr:rowOff>81524</xdr:rowOff>
    </xdr:to>
    <xdr:sp macro="" textlink="">
      <xdr:nvSpPr>
        <xdr:cNvPr id="63" name="TextBox 62">
          <a:extLst>
            <a:ext uri="{FF2B5EF4-FFF2-40B4-BE49-F238E27FC236}">
              <a16:creationId xmlns:a16="http://schemas.microsoft.com/office/drawing/2014/main" id="{FB853361-3F41-8523-926F-B4A2D9E4F196}"/>
            </a:ext>
          </a:extLst>
        </xdr:cNvPr>
        <xdr:cNvSpPr txBox="1"/>
      </xdr:nvSpPr>
      <xdr:spPr>
        <a:xfrm>
          <a:off x="3163661" y="342327"/>
          <a:ext cx="7302500" cy="703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000">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rPr>
            <a:t>HR ANALYTICS</a:t>
          </a:r>
          <a:r>
            <a:rPr lang="en-GB" sz="4000" baseline="0">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rPr>
            <a:t> DASHBOARD</a:t>
          </a:r>
          <a:endParaRPr lang="en-GB" sz="4000">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3</xdr:col>
      <xdr:colOff>365754</xdr:colOff>
      <xdr:row>1</xdr:row>
      <xdr:rowOff>135317</xdr:rowOff>
    </xdr:from>
    <xdr:to>
      <xdr:col>4</xdr:col>
      <xdr:colOff>439596</xdr:colOff>
      <xdr:row>5</xdr:row>
      <xdr:rowOff>95766</xdr:rowOff>
    </xdr:to>
    <xdr:pic>
      <xdr:nvPicPr>
        <xdr:cNvPr id="65" name="Picture 64">
          <a:extLst>
            <a:ext uri="{FF2B5EF4-FFF2-40B4-BE49-F238E27FC236}">
              <a16:creationId xmlns:a16="http://schemas.microsoft.com/office/drawing/2014/main" id="{D2DA184B-8FE4-4F4D-9B92-6E60242ABCD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322946" y="326687"/>
          <a:ext cx="726239" cy="725928"/>
        </a:xfrm>
        <a:prstGeom prst="rect">
          <a:avLst/>
        </a:prstGeom>
      </xdr:spPr>
    </xdr:pic>
    <xdr:clientData/>
  </xdr:twoCellAnchor>
  <xdr:twoCellAnchor editAs="oneCell">
    <xdr:from>
      <xdr:col>16</xdr:col>
      <xdr:colOff>402099</xdr:colOff>
      <xdr:row>1</xdr:row>
      <xdr:rowOff>128509</xdr:rowOff>
    </xdr:from>
    <xdr:to>
      <xdr:col>17</xdr:col>
      <xdr:colOff>475940</xdr:colOff>
      <xdr:row>5</xdr:row>
      <xdr:rowOff>88958</xdr:rowOff>
    </xdr:to>
    <xdr:pic>
      <xdr:nvPicPr>
        <xdr:cNvPr id="66" name="Picture 65">
          <a:extLst>
            <a:ext uri="{FF2B5EF4-FFF2-40B4-BE49-F238E27FC236}">
              <a16:creationId xmlns:a16="http://schemas.microsoft.com/office/drawing/2014/main" id="{C5399853-B218-4482-BD7A-6980D67FD6A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829467" y="320680"/>
          <a:ext cx="725552" cy="729133"/>
        </a:xfrm>
        <a:prstGeom prst="rect">
          <a:avLst/>
        </a:prstGeom>
      </xdr:spPr>
    </xdr:pic>
    <xdr:clientData/>
  </xdr:twoCellAnchor>
  <xdr:twoCellAnchor>
    <xdr:from>
      <xdr:col>17</xdr:col>
      <xdr:colOff>572046</xdr:colOff>
      <xdr:row>1</xdr:row>
      <xdr:rowOff>95685</xdr:rowOff>
    </xdr:from>
    <xdr:to>
      <xdr:col>20</xdr:col>
      <xdr:colOff>171908</xdr:colOff>
      <xdr:row>5</xdr:row>
      <xdr:rowOff>121781</xdr:rowOff>
    </xdr:to>
    <xdr:sp macro="" textlink="">
      <xdr:nvSpPr>
        <xdr:cNvPr id="67" name="TextBox 66">
          <a:extLst>
            <a:ext uri="{FF2B5EF4-FFF2-40B4-BE49-F238E27FC236}">
              <a16:creationId xmlns:a16="http://schemas.microsoft.com/office/drawing/2014/main" id="{07331FB2-A2DE-BB5D-858C-B31F96DBAECD}"/>
            </a:ext>
          </a:extLst>
        </xdr:cNvPr>
        <xdr:cNvSpPr txBox="1"/>
      </xdr:nvSpPr>
      <xdr:spPr>
        <a:xfrm>
          <a:off x="11651125" y="287856"/>
          <a:ext cx="1554994" cy="79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JOB </a:t>
          </a:r>
        </a:p>
        <a:p>
          <a:pPr algn="ctr"/>
          <a:r>
            <a:rPr lang="en-GB" sz="14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SATISFACTION </a:t>
          </a:r>
          <a:endParaRPr lang="en-GB" sz="1400" baseline="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endParaRPr>
        </a:p>
        <a:p>
          <a:pPr algn="ctr"/>
          <a:r>
            <a:rPr lang="en-GB" sz="14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RATING</a:t>
          </a:r>
        </a:p>
      </xdr:txBody>
    </xdr:sp>
    <xdr:clientData/>
  </xdr:twoCellAnchor>
  <xdr:twoCellAnchor>
    <xdr:from>
      <xdr:col>20</xdr:col>
      <xdr:colOff>232088</xdr:colOff>
      <xdr:row>1</xdr:row>
      <xdr:rowOff>91908</xdr:rowOff>
    </xdr:from>
    <xdr:to>
      <xdr:col>21</xdr:col>
      <xdr:colOff>540243</xdr:colOff>
      <xdr:row>5</xdr:row>
      <xdr:rowOff>116973</xdr:rowOff>
    </xdr:to>
    <xdr:graphicFrame macro="">
      <xdr:nvGraphicFramePr>
        <xdr:cNvPr id="68" name="Chart 67">
          <a:extLst>
            <a:ext uri="{FF2B5EF4-FFF2-40B4-BE49-F238E27FC236}">
              <a16:creationId xmlns:a16="http://schemas.microsoft.com/office/drawing/2014/main" id="{01F5130C-F86D-4F35-8987-0A58BE1C9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466036</xdr:colOff>
      <xdr:row>2</xdr:row>
      <xdr:rowOff>108619</xdr:rowOff>
    </xdr:from>
    <xdr:to>
      <xdr:col>21</xdr:col>
      <xdr:colOff>298930</xdr:colOff>
      <xdr:row>4</xdr:row>
      <xdr:rowOff>75197</xdr:rowOff>
    </xdr:to>
    <xdr:sp macro="" textlink="Rating!$B$8">
      <xdr:nvSpPr>
        <xdr:cNvPr id="69" name="TextBox 68">
          <a:extLst>
            <a:ext uri="{FF2B5EF4-FFF2-40B4-BE49-F238E27FC236}">
              <a16:creationId xmlns:a16="http://schemas.microsoft.com/office/drawing/2014/main" id="{898152AA-33B0-9737-33D9-7A1F10189467}"/>
            </a:ext>
          </a:extLst>
        </xdr:cNvPr>
        <xdr:cNvSpPr txBox="1"/>
      </xdr:nvSpPr>
      <xdr:spPr>
        <a:xfrm>
          <a:off x="13518814" y="484915"/>
          <a:ext cx="485533" cy="34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AA6FB6-B0C7-483E-8F78-B2FF94604C4D}" type="TxLink">
            <a:rPr lang="en-US" sz="1600" b="0" i="0" u="none" strike="noStrike">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GB" sz="1400">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541022</xdr:colOff>
      <xdr:row>1</xdr:row>
      <xdr:rowOff>113956</xdr:rowOff>
    </xdr:from>
    <xdr:to>
      <xdr:col>25</xdr:col>
      <xdr:colOff>259592</xdr:colOff>
      <xdr:row>5</xdr:row>
      <xdr:rowOff>101307</xdr:rowOff>
    </xdr:to>
    <xdr:graphicFrame macro="">
      <xdr:nvGraphicFramePr>
        <xdr:cNvPr id="72" name="Chart 71">
          <a:extLst>
            <a:ext uri="{FF2B5EF4-FFF2-40B4-BE49-F238E27FC236}">
              <a16:creationId xmlns:a16="http://schemas.microsoft.com/office/drawing/2014/main" id="{18538905-36D6-4E85-83CB-AAC808CC0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558814</xdr:colOff>
      <xdr:row>2</xdr:row>
      <xdr:rowOff>16822</xdr:rowOff>
    </xdr:from>
    <xdr:to>
      <xdr:col>25</xdr:col>
      <xdr:colOff>248893</xdr:colOff>
      <xdr:row>5</xdr:row>
      <xdr:rowOff>5182</xdr:rowOff>
    </xdr:to>
    <xdr:sp macro="" textlink="">
      <xdr:nvSpPr>
        <xdr:cNvPr id="73" name="Freeform: Shape 72">
          <a:extLst>
            <a:ext uri="{FF2B5EF4-FFF2-40B4-BE49-F238E27FC236}">
              <a16:creationId xmlns:a16="http://schemas.microsoft.com/office/drawing/2014/main" id="{6408D4F7-1E5C-45AB-8B74-C6D13464A5CE}"/>
            </a:ext>
          </a:extLst>
        </xdr:cNvPr>
        <xdr:cNvSpPr/>
      </xdr:nvSpPr>
      <xdr:spPr>
        <a:xfrm>
          <a:off x="14295874" y="399737"/>
          <a:ext cx="2306662" cy="562731"/>
        </a:xfrm>
        <a:custGeom>
          <a:avLst/>
          <a:gdLst>
            <a:gd name="csX0" fmla="*/ 1387948 w 1668488"/>
            <a:gd name="csY0" fmla="*/ 35362 h 436485"/>
            <a:gd name="csX1" fmla="*/ 1344777 w 1668488"/>
            <a:gd name="csY1" fmla="*/ 175071 h 436485"/>
            <a:gd name="csX2" fmla="*/ 1205068 w 1668488"/>
            <a:gd name="csY2" fmla="*/ 175070 h 436485"/>
            <a:gd name="csX3" fmla="*/ 1318095 w 1668488"/>
            <a:gd name="csY3" fmla="*/ 261413 h 436485"/>
            <a:gd name="csX4" fmla="*/ 1274922 w 1668488"/>
            <a:gd name="csY4" fmla="*/ 401121 h 436485"/>
            <a:gd name="csX5" fmla="*/ 1387948 w 1668488"/>
            <a:gd name="csY5" fmla="*/ 314776 h 436485"/>
            <a:gd name="csX6" fmla="*/ 1500974 w 1668488"/>
            <a:gd name="csY6" fmla="*/ 401121 h 436485"/>
            <a:gd name="csX7" fmla="*/ 1457801 w 1668488"/>
            <a:gd name="csY7" fmla="*/ 261413 h 436485"/>
            <a:gd name="csX8" fmla="*/ 1570828 w 1668488"/>
            <a:gd name="csY8" fmla="*/ 175070 h 436485"/>
            <a:gd name="csX9" fmla="*/ 1431119 w 1668488"/>
            <a:gd name="csY9" fmla="*/ 175071 h 436485"/>
            <a:gd name="csX10" fmla="*/ 1016004 w 1668488"/>
            <a:gd name="csY10" fmla="*/ 35362 h 436485"/>
            <a:gd name="csX11" fmla="*/ 972833 w 1668488"/>
            <a:gd name="csY11" fmla="*/ 175071 h 436485"/>
            <a:gd name="csX12" fmla="*/ 833124 w 1668488"/>
            <a:gd name="csY12" fmla="*/ 175070 h 436485"/>
            <a:gd name="csX13" fmla="*/ 946151 w 1668488"/>
            <a:gd name="csY13" fmla="*/ 261413 h 436485"/>
            <a:gd name="csX14" fmla="*/ 902978 w 1668488"/>
            <a:gd name="csY14" fmla="*/ 401121 h 436485"/>
            <a:gd name="csX15" fmla="*/ 1016004 w 1668488"/>
            <a:gd name="csY15" fmla="*/ 314776 h 436485"/>
            <a:gd name="csX16" fmla="*/ 1129030 w 1668488"/>
            <a:gd name="csY16" fmla="*/ 401121 h 436485"/>
            <a:gd name="csX17" fmla="*/ 1085857 w 1668488"/>
            <a:gd name="csY17" fmla="*/ 261413 h 436485"/>
            <a:gd name="csX18" fmla="*/ 1198884 w 1668488"/>
            <a:gd name="csY18" fmla="*/ 175070 h 436485"/>
            <a:gd name="csX19" fmla="*/ 1059175 w 1668488"/>
            <a:gd name="csY19" fmla="*/ 175071 h 436485"/>
            <a:gd name="csX20" fmla="*/ 644060 w 1668488"/>
            <a:gd name="csY20" fmla="*/ 35362 h 436485"/>
            <a:gd name="csX21" fmla="*/ 600889 w 1668488"/>
            <a:gd name="csY21" fmla="*/ 175071 h 436485"/>
            <a:gd name="csX22" fmla="*/ 461180 w 1668488"/>
            <a:gd name="csY22" fmla="*/ 175070 h 436485"/>
            <a:gd name="csX23" fmla="*/ 574207 w 1668488"/>
            <a:gd name="csY23" fmla="*/ 261413 h 436485"/>
            <a:gd name="csX24" fmla="*/ 531034 w 1668488"/>
            <a:gd name="csY24" fmla="*/ 401121 h 436485"/>
            <a:gd name="csX25" fmla="*/ 644060 w 1668488"/>
            <a:gd name="csY25" fmla="*/ 314776 h 436485"/>
            <a:gd name="csX26" fmla="*/ 757086 w 1668488"/>
            <a:gd name="csY26" fmla="*/ 401121 h 436485"/>
            <a:gd name="csX27" fmla="*/ 713913 w 1668488"/>
            <a:gd name="csY27" fmla="*/ 261413 h 436485"/>
            <a:gd name="csX28" fmla="*/ 826940 w 1668488"/>
            <a:gd name="csY28" fmla="*/ 175070 h 436485"/>
            <a:gd name="csX29" fmla="*/ 687231 w 1668488"/>
            <a:gd name="csY29" fmla="*/ 175071 h 436485"/>
            <a:gd name="csX30" fmla="*/ 272116 w 1668488"/>
            <a:gd name="csY30" fmla="*/ 35362 h 436485"/>
            <a:gd name="csX31" fmla="*/ 228945 w 1668488"/>
            <a:gd name="csY31" fmla="*/ 175071 h 436485"/>
            <a:gd name="csX32" fmla="*/ 89236 w 1668488"/>
            <a:gd name="csY32" fmla="*/ 175070 h 436485"/>
            <a:gd name="csX33" fmla="*/ 202263 w 1668488"/>
            <a:gd name="csY33" fmla="*/ 261413 h 436485"/>
            <a:gd name="csX34" fmla="*/ 159090 w 1668488"/>
            <a:gd name="csY34" fmla="*/ 401121 h 436485"/>
            <a:gd name="csX35" fmla="*/ 272116 w 1668488"/>
            <a:gd name="csY35" fmla="*/ 314776 h 436485"/>
            <a:gd name="csX36" fmla="*/ 385142 w 1668488"/>
            <a:gd name="csY36" fmla="*/ 401121 h 436485"/>
            <a:gd name="csX37" fmla="*/ 341969 w 1668488"/>
            <a:gd name="csY37" fmla="*/ 261413 h 436485"/>
            <a:gd name="csX38" fmla="*/ 454996 w 1668488"/>
            <a:gd name="csY38" fmla="*/ 175070 h 436485"/>
            <a:gd name="csX39" fmla="*/ 315287 w 1668488"/>
            <a:gd name="csY39" fmla="*/ 175071 h 436485"/>
            <a:gd name="csX40" fmla="*/ 0 w 1668488"/>
            <a:gd name="csY40" fmla="*/ 0 h 436485"/>
            <a:gd name="csX41" fmla="*/ 1668488 w 1668488"/>
            <a:gd name="csY41" fmla="*/ 0 h 436485"/>
            <a:gd name="csX42" fmla="*/ 1668488 w 1668488"/>
            <a:gd name="csY42" fmla="*/ 436485 h 436485"/>
            <a:gd name="csX43" fmla="*/ 0 w 1668488"/>
            <a:gd name="csY43" fmla="*/ 436485 h 4364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668488" h="436485">
              <a:moveTo>
                <a:pt x="1387948" y="35362"/>
              </a:moveTo>
              <a:lnTo>
                <a:pt x="1344777" y="175071"/>
              </a:lnTo>
              <a:lnTo>
                <a:pt x="1205068" y="175070"/>
              </a:lnTo>
              <a:lnTo>
                <a:pt x="1318095" y="261413"/>
              </a:lnTo>
              <a:lnTo>
                <a:pt x="1274922" y="401121"/>
              </a:lnTo>
              <a:lnTo>
                <a:pt x="1387948" y="314776"/>
              </a:lnTo>
              <a:lnTo>
                <a:pt x="1500974" y="401121"/>
              </a:lnTo>
              <a:lnTo>
                <a:pt x="1457801" y="261413"/>
              </a:lnTo>
              <a:lnTo>
                <a:pt x="1570828" y="175070"/>
              </a:lnTo>
              <a:lnTo>
                <a:pt x="1431119" y="175071"/>
              </a:lnTo>
              <a:close/>
              <a:moveTo>
                <a:pt x="1016004" y="35362"/>
              </a:moveTo>
              <a:lnTo>
                <a:pt x="972833" y="175071"/>
              </a:lnTo>
              <a:lnTo>
                <a:pt x="833124" y="175070"/>
              </a:lnTo>
              <a:lnTo>
                <a:pt x="946151" y="261413"/>
              </a:lnTo>
              <a:lnTo>
                <a:pt x="902978" y="401121"/>
              </a:lnTo>
              <a:lnTo>
                <a:pt x="1016004" y="314776"/>
              </a:lnTo>
              <a:lnTo>
                <a:pt x="1129030" y="401121"/>
              </a:lnTo>
              <a:lnTo>
                <a:pt x="1085857" y="261413"/>
              </a:lnTo>
              <a:lnTo>
                <a:pt x="1198884" y="175070"/>
              </a:lnTo>
              <a:lnTo>
                <a:pt x="1059175" y="175071"/>
              </a:lnTo>
              <a:close/>
              <a:moveTo>
                <a:pt x="644060" y="35362"/>
              </a:moveTo>
              <a:lnTo>
                <a:pt x="600889" y="175071"/>
              </a:lnTo>
              <a:lnTo>
                <a:pt x="461180" y="175070"/>
              </a:lnTo>
              <a:lnTo>
                <a:pt x="574207" y="261413"/>
              </a:lnTo>
              <a:lnTo>
                <a:pt x="531034" y="401121"/>
              </a:lnTo>
              <a:lnTo>
                <a:pt x="644060" y="314776"/>
              </a:lnTo>
              <a:lnTo>
                <a:pt x="757086" y="401121"/>
              </a:lnTo>
              <a:lnTo>
                <a:pt x="713913" y="261413"/>
              </a:lnTo>
              <a:lnTo>
                <a:pt x="826940" y="175070"/>
              </a:lnTo>
              <a:lnTo>
                <a:pt x="687231" y="175071"/>
              </a:lnTo>
              <a:close/>
              <a:moveTo>
                <a:pt x="272116" y="35362"/>
              </a:moveTo>
              <a:lnTo>
                <a:pt x="228945" y="175071"/>
              </a:lnTo>
              <a:lnTo>
                <a:pt x="89236" y="175070"/>
              </a:lnTo>
              <a:lnTo>
                <a:pt x="202263" y="261413"/>
              </a:lnTo>
              <a:lnTo>
                <a:pt x="159090" y="401121"/>
              </a:lnTo>
              <a:lnTo>
                <a:pt x="272116" y="314776"/>
              </a:lnTo>
              <a:lnTo>
                <a:pt x="385142" y="401121"/>
              </a:lnTo>
              <a:lnTo>
                <a:pt x="341969" y="261413"/>
              </a:lnTo>
              <a:lnTo>
                <a:pt x="454996" y="175070"/>
              </a:lnTo>
              <a:lnTo>
                <a:pt x="315287" y="175071"/>
              </a:lnTo>
              <a:close/>
              <a:moveTo>
                <a:pt x="0" y="0"/>
              </a:moveTo>
              <a:lnTo>
                <a:pt x="1668488" y="0"/>
              </a:lnTo>
              <a:lnTo>
                <a:pt x="1668488" y="436485"/>
              </a:lnTo>
              <a:lnTo>
                <a:pt x="0" y="436485"/>
              </a:lnTo>
              <a:close/>
            </a:path>
          </a:pathLst>
        </a:cu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GB" sz="1100"/>
        </a:p>
      </xdr:txBody>
    </xdr:sp>
    <xdr:clientData/>
  </xdr:twoCellAnchor>
  <xdr:twoCellAnchor>
    <xdr:from>
      <xdr:col>3</xdr:col>
      <xdr:colOff>227526</xdr:colOff>
      <xdr:row>18</xdr:row>
      <xdr:rowOff>1285</xdr:rowOff>
    </xdr:from>
    <xdr:to>
      <xdr:col>5</xdr:col>
      <xdr:colOff>290347</xdr:colOff>
      <xdr:row>25</xdr:row>
      <xdr:rowOff>49564</xdr:rowOff>
    </xdr:to>
    <xdr:graphicFrame macro="">
      <xdr:nvGraphicFramePr>
        <xdr:cNvPr id="75" name="Chart 74">
          <a:extLst>
            <a:ext uri="{FF2B5EF4-FFF2-40B4-BE49-F238E27FC236}">
              <a16:creationId xmlns:a16="http://schemas.microsoft.com/office/drawing/2014/main" id="{1CF1F300-DF0C-4186-AFAE-1A80507EA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411539</xdr:colOff>
      <xdr:row>18</xdr:row>
      <xdr:rowOff>1285</xdr:rowOff>
    </xdr:from>
    <xdr:to>
      <xdr:col>9</xdr:col>
      <xdr:colOff>474360</xdr:colOff>
      <xdr:row>25</xdr:row>
      <xdr:rowOff>49564</xdr:rowOff>
    </xdr:to>
    <xdr:graphicFrame macro="">
      <xdr:nvGraphicFramePr>
        <xdr:cNvPr id="76" name="Chart 75">
          <a:extLst>
            <a:ext uri="{FF2B5EF4-FFF2-40B4-BE49-F238E27FC236}">
              <a16:creationId xmlns:a16="http://schemas.microsoft.com/office/drawing/2014/main" id="{2495F199-C428-E884-2C09-48E1927C2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xdr:col>
      <xdr:colOff>291160</xdr:colOff>
      <xdr:row>19</xdr:row>
      <xdr:rowOff>47670</xdr:rowOff>
    </xdr:from>
    <xdr:to>
      <xdr:col>7</xdr:col>
      <xdr:colOff>532620</xdr:colOff>
      <xdr:row>24</xdr:row>
      <xdr:rowOff>3177</xdr:rowOff>
    </xdr:to>
    <xdr:pic>
      <xdr:nvPicPr>
        <xdr:cNvPr id="78" name="Graphic 77" descr="Male profile with solid fill">
          <a:extLst>
            <a:ext uri="{FF2B5EF4-FFF2-40B4-BE49-F238E27FC236}">
              <a16:creationId xmlns:a16="http://schemas.microsoft.com/office/drawing/2014/main" id="{387442D2-6FA6-8C21-FAD4-C359EDCD065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242271" y="3622485"/>
          <a:ext cx="899979" cy="896248"/>
        </a:xfrm>
        <a:prstGeom prst="rect">
          <a:avLst/>
        </a:prstGeom>
      </xdr:spPr>
    </xdr:pic>
    <xdr:clientData/>
  </xdr:twoCellAnchor>
  <xdr:twoCellAnchor editAs="oneCell">
    <xdr:from>
      <xdr:col>5</xdr:col>
      <xdr:colOff>169267</xdr:colOff>
      <xdr:row>19</xdr:row>
      <xdr:rowOff>47670</xdr:rowOff>
    </xdr:from>
    <xdr:to>
      <xdr:col>6</xdr:col>
      <xdr:colOff>412240</xdr:colOff>
      <xdr:row>24</xdr:row>
      <xdr:rowOff>3177</xdr:rowOff>
    </xdr:to>
    <xdr:pic>
      <xdr:nvPicPr>
        <xdr:cNvPr id="80" name="Graphic 79" descr="Female Profile with solid fill">
          <a:extLst>
            <a:ext uri="{FF2B5EF4-FFF2-40B4-BE49-F238E27FC236}">
              <a16:creationId xmlns:a16="http://schemas.microsoft.com/office/drawing/2014/main" id="{32263A33-6405-B0F3-64D6-F5D8C242FB2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461860" y="3622485"/>
          <a:ext cx="901491" cy="896248"/>
        </a:xfrm>
        <a:prstGeom prst="rect">
          <a:avLst/>
        </a:prstGeom>
      </xdr:spPr>
    </xdr:pic>
    <xdr:clientData/>
  </xdr:twoCellAnchor>
  <xdr:twoCellAnchor>
    <xdr:from>
      <xdr:col>3</xdr:col>
      <xdr:colOff>600676</xdr:colOff>
      <xdr:row>20</xdr:row>
      <xdr:rowOff>42905</xdr:rowOff>
    </xdr:from>
    <xdr:to>
      <xdr:col>4</xdr:col>
      <xdr:colOff>609256</xdr:colOff>
      <xdr:row>22</xdr:row>
      <xdr:rowOff>154460</xdr:rowOff>
    </xdr:to>
    <xdr:sp macro="" textlink="Gender!$B$9">
      <xdr:nvSpPr>
        <xdr:cNvPr id="81" name="TextBox 80">
          <a:extLst>
            <a:ext uri="{FF2B5EF4-FFF2-40B4-BE49-F238E27FC236}">
              <a16:creationId xmlns:a16="http://schemas.microsoft.com/office/drawing/2014/main" id="{5EE4FBD3-5291-4392-B5D3-B7A555F1296D}"/>
            </a:ext>
          </a:extLst>
        </xdr:cNvPr>
        <xdr:cNvSpPr txBox="1"/>
      </xdr:nvSpPr>
      <xdr:spPr>
        <a:xfrm>
          <a:off x="2557162" y="3818581"/>
          <a:ext cx="660743" cy="489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16FCAB-19BC-4243-9A61-4F201AD6C0F6}" type="TxLink">
            <a:rPr lang="en-US" sz="1800" b="0" i="0" u="none" strike="noStrike">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588</a:t>
          </a:fld>
          <a:endParaRPr lang="en-GB" sz="2000">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109492</xdr:colOff>
      <xdr:row>20</xdr:row>
      <xdr:rowOff>58009</xdr:rowOff>
    </xdr:from>
    <xdr:to>
      <xdr:col>9</xdr:col>
      <xdr:colOff>118073</xdr:colOff>
      <xdr:row>22</xdr:row>
      <xdr:rowOff>169564</xdr:rowOff>
    </xdr:to>
    <xdr:sp macro="" textlink="Gender!$B$10">
      <xdr:nvSpPr>
        <xdr:cNvPr id="82" name="TextBox 81">
          <a:extLst>
            <a:ext uri="{FF2B5EF4-FFF2-40B4-BE49-F238E27FC236}">
              <a16:creationId xmlns:a16="http://schemas.microsoft.com/office/drawing/2014/main" id="{EA3C52E6-70A3-7568-6F7D-1A9B2C49E974}"/>
            </a:ext>
          </a:extLst>
        </xdr:cNvPr>
        <xdr:cNvSpPr txBox="1"/>
      </xdr:nvSpPr>
      <xdr:spPr>
        <a:xfrm>
          <a:off x="5326789" y="3833685"/>
          <a:ext cx="660743" cy="489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8B7702-5EB0-4D26-9ED5-4F7DB4457809}" type="TxLink">
            <a:rPr lang="en-US" sz="1800" b="0" i="0" u="none" strike="noStrike">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882</a:t>
          </a:fld>
          <a:endParaRPr lang="en-GB" sz="2000">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xdr:col>
      <xdr:colOff>366790</xdr:colOff>
      <xdr:row>11</xdr:row>
      <xdr:rowOff>177848</xdr:rowOff>
    </xdr:from>
    <xdr:to>
      <xdr:col>9</xdr:col>
      <xdr:colOff>385737</xdr:colOff>
      <xdr:row>13</xdr:row>
      <xdr:rowOff>108854</xdr:rowOff>
    </xdr:to>
    <xdr:sp macro="" textlink="">
      <xdr:nvSpPr>
        <xdr:cNvPr id="83" name="TextBox 82">
          <a:extLst>
            <a:ext uri="{FF2B5EF4-FFF2-40B4-BE49-F238E27FC236}">
              <a16:creationId xmlns:a16="http://schemas.microsoft.com/office/drawing/2014/main" id="{9397CBD6-A6A3-C363-43AE-8816728978FC}"/>
            </a:ext>
          </a:extLst>
        </xdr:cNvPr>
        <xdr:cNvSpPr txBox="1"/>
      </xdr:nvSpPr>
      <xdr:spPr>
        <a:xfrm>
          <a:off x="2323276" y="2254470"/>
          <a:ext cx="3931920" cy="308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Total Employees by Gender</a:t>
          </a:r>
        </a:p>
      </xdr:txBody>
    </xdr:sp>
    <xdr:clientData/>
  </xdr:twoCellAnchor>
  <xdr:twoCellAnchor editAs="oneCell">
    <xdr:from>
      <xdr:col>5</xdr:col>
      <xdr:colOff>94392</xdr:colOff>
      <xdr:row>15</xdr:row>
      <xdr:rowOff>59289</xdr:rowOff>
    </xdr:from>
    <xdr:to>
      <xdr:col>7</xdr:col>
      <xdr:colOff>618868</xdr:colOff>
      <xdr:row>19</xdr:row>
      <xdr:rowOff>48107</xdr:rowOff>
    </xdr:to>
    <mc:AlternateContent xmlns:mc="http://schemas.openxmlformats.org/markup-compatibility/2006" xmlns:a14="http://schemas.microsoft.com/office/drawing/2010/main">
      <mc:Choice Requires="a14">
        <xdr:graphicFrame macro="">
          <xdr:nvGraphicFramePr>
            <xdr:cNvPr id="84" name="Gender 3">
              <a:extLst>
                <a:ext uri="{FF2B5EF4-FFF2-40B4-BE49-F238E27FC236}">
                  <a16:creationId xmlns:a16="http://schemas.microsoft.com/office/drawing/2014/main" id="{CC514E5E-8831-4137-9748-4A2B47CC93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334188" y="2975105"/>
              <a:ext cx="1820394" cy="7663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205946</xdr:colOff>
      <xdr:row>13</xdr:row>
      <xdr:rowOff>130719</xdr:rowOff>
    </xdr:from>
    <xdr:to>
      <xdr:col>17</xdr:col>
      <xdr:colOff>546801</xdr:colOff>
      <xdr:row>25</xdr:row>
      <xdr:rowOff>137297</xdr:rowOff>
    </xdr:to>
    <xdr:graphicFrame macro="">
      <xdr:nvGraphicFramePr>
        <xdr:cNvPr id="31" name="Chart 30">
          <a:extLst>
            <a:ext uri="{FF2B5EF4-FFF2-40B4-BE49-F238E27FC236}">
              <a16:creationId xmlns:a16="http://schemas.microsoft.com/office/drawing/2014/main" id="{6C5F847B-A518-4C5C-928C-A01527EBF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218857</xdr:colOff>
      <xdr:row>11</xdr:row>
      <xdr:rowOff>184371</xdr:rowOff>
    </xdr:from>
    <xdr:to>
      <xdr:col>16</xdr:col>
      <xdr:colOff>237804</xdr:colOff>
      <xdr:row>13</xdr:row>
      <xdr:rowOff>115377</xdr:rowOff>
    </xdr:to>
    <xdr:sp macro="" textlink="">
      <xdr:nvSpPr>
        <xdr:cNvPr id="32" name="TextBox 31">
          <a:extLst>
            <a:ext uri="{FF2B5EF4-FFF2-40B4-BE49-F238E27FC236}">
              <a16:creationId xmlns:a16="http://schemas.microsoft.com/office/drawing/2014/main" id="{3BECD8CB-CD90-6538-FC5F-03AFF254102B}"/>
            </a:ext>
          </a:extLst>
        </xdr:cNvPr>
        <xdr:cNvSpPr txBox="1"/>
      </xdr:nvSpPr>
      <xdr:spPr>
        <a:xfrm>
          <a:off x="6740479" y="2260993"/>
          <a:ext cx="3931920" cy="308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Education wise</a:t>
          </a:r>
          <a:r>
            <a:rPr lang="en-GB" sz="1700" baseline="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 Attrition</a:t>
          </a:r>
          <a:endPar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xdr:col>
      <xdr:colOff>333991</xdr:colOff>
      <xdr:row>28</xdr:row>
      <xdr:rowOff>27746</xdr:rowOff>
    </xdr:from>
    <xdr:to>
      <xdr:col>9</xdr:col>
      <xdr:colOff>368987</xdr:colOff>
      <xdr:row>39</xdr:row>
      <xdr:rowOff>163040</xdr:rowOff>
    </xdr:to>
    <xdr:graphicFrame macro="">
      <xdr:nvGraphicFramePr>
        <xdr:cNvPr id="42" name="Chart 41">
          <a:extLst>
            <a:ext uri="{FF2B5EF4-FFF2-40B4-BE49-F238E27FC236}">
              <a16:creationId xmlns:a16="http://schemas.microsoft.com/office/drawing/2014/main" id="{5DED47E1-5A72-44C3-927C-29227368B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338989</xdr:colOff>
      <xdr:row>26</xdr:row>
      <xdr:rowOff>89977</xdr:rowOff>
    </xdr:from>
    <xdr:to>
      <xdr:col>9</xdr:col>
      <xdr:colOff>357936</xdr:colOff>
      <xdr:row>28</xdr:row>
      <xdr:rowOff>20982</xdr:rowOff>
    </xdr:to>
    <xdr:sp macro="" textlink="">
      <xdr:nvSpPr>
        <xdr:cNvPr id="43" name="TextBox 42">
          <a:extLst>
            <a:ext uri="{FF2B5EF4-FFF2-40B4-BE49-F238E27FC236}">
              <a16:creationId xmlns:a16="http://schemas.microsoft.com/office/drawing/2014/main" id="{737E3323-51E2-7A94-29EE-AA3BCC259280}"/>
            </a:ext>
          </a:extLst>
        </xdr:cNvPr>
        <xdr:cNvSpPr txBox="1"/>
      </xdr:nvSpPr>
      <xdr:spPr>
        <a:xfrm>
          <a:off x="2295475" y="4998355"/>
          <a:ext cx="3931920" cy="308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Department</a:t>
          </a:r>
          <a:r>
            <a:rPr lang="en-GB" sz="1700" baseline="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72436</xdr:colOff>
      <xdr:row>28</xdr:row>
      <xdr:rowOff>65867</xdr:rowOff>
    </xdr:from>
    <xdr:to>
      <xdr:col>15</xdr:col>
      <xdr:colOff>438301</xdr:colOff>
      <xdr:row>39</xdr:row>
      <xdr:rowOff>132583</xdr:rowOff>
    </xdr:to>
    <xdr:graphicFrame macro="">
      <xdr:nvGraphicFramePr>
        <xdr:cNvPr id="45" name="Chart 44">
          <a:extLst>
            <a:ext uri="{FF2B5EF4-FFF2-40B4-BE49-F238E27FC236}">
              <a16:creationId xmlns:a16="http://schemas.microsoft.com/office/drawing/2014/main" id="{5FBEEC63-2816-4ED4-99B2-F23F1F20F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332772</xdr:colOff>
      <xdr:row>11</xdr:row>
      <xdr:rowOff>163590</xdr:rowOff>
    </xdr:from>
    <xdr:to>
      <xdr:col>24</xdr:col>
      <xdr:colOff>351720</xdr:colOff>
      <xdr:row>13</xdr:row>
      <xdr:rowOff>94596</xdr:rowOff>
    </xdr:to>
    <xdr:sp macro="" textlink="">
      <xdr:nvSpPr>
        <xdr:cNvPr id="46" name="TextBox 45">
          <a:extLst>
            <a:ext uri="{FF2B5EF4-FFF2-40B4-BE49-F238E27FC236}">
              <a16:creationId xmlns:a16="http://schemas.microsoft.com/office/drawing/2014/main" id="{3A15D077-6DDA-FADB-6839-E1FBC4B9FBB2}"/>
            </a:ext>
          </a:extLst>
        </xdr:cNvPr>
        <xdr:cNvSpPr txBox="1"/>
      </xdr:nvSpPr>
      <xdr:spPr>
        <a:xfrm>
          <a:off x="12109136" y="2280257"/>
          <a:ext cx="3944402" cy="315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Attrition</a:t>
          </a:r>
          <a:r>
            <a:rPr lang="en-GB" sz="1700" baseline="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 by Job Role</a:t>
          </a:r>
          <a:endPar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167155</xdr:colOff>
      <xdr:row>26</xdr:row>
      <xdr:rowOff>97438</xdr:rowOff>
    </xdr:from>
    <xdr:to>
      <xdr:col>16</xdr:col>
      <xdr:colOff>186102</xdr:colOff>
      <xdr:row>28</xdr:row>
      <xdr:rowOff>28443</xdr:rowOff>
    </xdr:to>
    <xdr:sp macro="" textlink="">
      <xdr:nvSpPr>
        <xdr:cNvPr id="47" name="TextBox 46">
          <a:extLst>
            <a:ext uri="{FF2B5EF4-FFF2-40B4-BE49-F238E27FC236}">
              <a16:creationId xmlns:a16="http://schemas.microsoft.com/office/drawing/2014/main" id="{59FAAD3D-9DF2-B738-25AD-126C3CCBA417}"/>
            </a:ext>
          </a:extLst>
        </xdr:cNvPr>
        <xdr:cNvSpPr txBox="1"/>
      </xdr:nvSpPr>
      <xdr:spPr>
        <a:xfrm>
          <a:off x="6752340" y="4989290"/>
          <a:ext cx="3970058" cy="307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Attrition by Age Group</a:t>
          </a:r>
        </a:p>
      </xdr:txBody>
    </xdr:sp>
    <xdr:clientData/>
  </xdr:twoCellAnchor>
  <xdr:twoCellAnchor>
    <xdr:from>
      <xdr:col>16</xdr:col>
      <xdr:colOff>79549</xdr:colOff>
      <xdr:row>28</xdr:row>
      <xdr:rowOff>81296</xdr:rowOff>
    </xdr:from>
    <xdr:to>
      <xdr:col>20</xdr:col>
      <xdr:colOff>480087</xdr:colOff>
      <xdr:row>39</xdr:row>
      <xdr:rowOff>132585</xdr:rowOff>
    </xdr:to>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D988DD4A-3F41-41A3-9F4B-34840CD685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0544349" y="5415296"/>
              <a:ext cx="3016738" cy="21467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253707</xdr:colOff>
      <xdr:row>26</xdr:row>
      <xdr:rowOff>84230</xdr:rowOff>
    </xdr:from>
    <xdr:to>
      <xdr:col>22</xdr:col>
      <xdr:colOff>272655</xdr:colOff>
      <xdr:row>28</xdr:row>
      <xdr:rowOff>20136</xdr:rowOff>
    </xdr:to>
    <xdr:sp macro="" textlink="">
      <xdr:nvSpPr>
        <xdr:cNvPr id="49" name="TextBox 48">
          <a:extLst>
            <a:ext uri="{FF2B5EF4-FFF2-40B4-BE49-F238E27FC236}">
              <a16:creationId xmlns:a16="http://schemas.microsoft.com/office/drawing/2014/main" id="{E0392B82-79A8-05A2-F8B1-D057388E09A2}"/>
            </a:ext>
          </a:extLst>
        </xdr:cNvPr>
        <xdr:cNvSpPr txBox="1"/>
      </xdr:nvSpPr>
      <xdr:spPr>
        <a:xfrm>
          <a:off x="10748652" y="4982801"/>
          <a:ext cx="3954552" cy="312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Attrition</a:t>
          </a:r>
          <a:r>
            <a:rPr lang="en-GB" sz="1700" baseline="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 by </a:t>
          </a:r>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Marital</a:t>
          </a:r>
          <a:r>
            <a:rPr lang="en-GB" sz="1700" baseline="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 Status</a:t>
          </a:r>
          <a:endPar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23</xdr:col>
      <xdr:colOff>554320</xdr:colOff>
      <xdr:row>30</xdr:row>
      <xdr:rowOff>44666</xdr:rowOff>
    </xdr:from>
    <xdr:to>
      <xdr:col>25</xdr:col>
      <xdr:colOff>236820</xdr:colOff>
      <xdr:row>36</xdr:row>
      <xdr:rowOff>185833</xdr:rowOff>
    </xdr:to>
    <mc:AlternateContent xmlns:mc="http://schemas.openxmlformats.org/markup-compatibility/2006" xmlns:a14="http://schemas.microsoft.com/office/drawing/2010/main">
      <mc:Choice Requires="a14">
        <xdr:graphicFrame macro="">
          <xdr:nvGraphicFramePr>
            <xdr:cNvPr id="50" name="Department 1">
              <a:extLst>
                <a:ext uri="{FF2B5EF4-FFF2-40B4-BE49-F238E27FC236}">
                  <a16:creationId xmlns:a16="http://schemas.microsoft.com/office/drawing/2014/main" id="{F3D080B7-39DD-4345-8722-25C225451C1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457381" y="5876299"/>
              <a:ext cx="978419" cy="13074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29680</xdr:colOff>
      <xdr:row>30</xdr:row>
      <xdr:rowOff>44665</xdr:rowOff>
    </xdr:from>
    <xdr:to>
      <xdr:col>23</xdr:col>
      <xdr:colOff>534453</xdr:colOff>
      <xdr:row>40</xdr:row>
      <xdr:rowOff>32843</xdr:rowOff>
    </xdr:to>
    <mc:AlternateContent xmlns:mc="http://schemas.openxmlformats.org/markup-compatibility/2006" xmlns:a14="http://schemas.microsoft.com/office/drawing/2010/main">
      <mc:Choice Requires="a14">
        <xdr:graphicFrame macro="">
          <xdr:nvGraphicFramePr>
            <xdr:cNvPr id="51" name="Education Field 3">
              <a:extLst>
                <a:ext uri="{FF2B5EF4-FFF2-40B4-BE49-F238E27FC236}">
                  <a16:creationId xmlns:a16="http://schemas.microsoft.com/office/drawing/2014/main" id="{5AAE9669-81B7-4EE2-9B43-706A0E30359C}"/>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3636823" y="5876298"/>
              <a:ext cx="1800691" cy="19320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29680</xdr:colOff>
      <xdr:row>28</xdr:row>
      <xdr:rowOff>138097</xdr:rowOff>
    </xdr:from>
    <xdr:to>
      <xdr:col>23</xdr:col>
      <xdr:colOff>422796</xdr:colOff>
      <xdr:row>30</xdr:row>
      <xdr:rowOff>87587</xdr:rowOff>
    </xdr:to>
    <xdr:sp macro="" textlink="">
      <xdr:nvSpPr>
        <xdr:cNvPr id="52" name="TextBox 51">
          <a:extLst>
            <a:ext uri="{FF2B5EF4-FFF2-40B4-BE49-F238E27FC236}">
              <a16:creationId xmlns:a16="http://schemas.microsoft.com/office/drawing/2014/main" id="{7316450C-4790-7236-C17D-3650A996AA3E}"/>
            </a:ext>
          </a:extLst>
        </xdr:cNvPr>
        <xdr:cNvSpPr txBox="1"/>
      </xdr:nvSpPr>
      <xdr:spPr>
        <a:xfrm>
          <a:off x="13824508" y="5349476"/>
          <a:ext cx="1706909" cy="321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tx2">
                  <a:lumMod val="75000"/>
                </a:schemeClr>
              </a:solidFill>
              <a:latin typeface="Lato Black" panose="020F0502020204030203" pitchFamily="34" charset="0"/>
              <a:ea typeface="Lato Black" panose="020F0502020204030203" pitchFamily="34" charset="0"/>
              <a:cs typeface="Lato Black" panose="020F0502020204030203" pitchFamily="34" charset="0"/>
            </a:rPr>
            <a:t>Education Field</a:t>
          </a:r>
        </a:p>
      </xdr:txBody>
    </xdr:sp>
    <xdr:clientData/>
  </xdr:twoCellAnchor>
  <xdr:twoCellAnchor>
    <xdr:from>
      <xdr:col>23</xdr:col>
      <xdr:colOff>554320</xdr:colOff>
      <xdr:row>28</xdr:row>
      <xdr:rowOff>115324</xdr:rowOff>
    </xdr:from>
    <xdr:to>
      <xdr:col>25</xdr:col>
      <xdr:colOff>328446</xdr:colOff>
      <xdr:row>30</xdr:row>
      <xdr:rowOff>43793</xdr:rowOff>
    </xdr:to>
    <xdr:sp macro="" textlink="">
      <xdr:nvSpPr>
        <xdr:cNvPr id="53" name="TextBox 52">
          <a:extLst>
            <a:ext uri="{FF2B5EF4-FFF2-40B4-BE49-F238E27FC236}">
              <a16:creationId xmlns:a16="http://schemas.microsoft.com/office/drawing/2014/main" id="{FF6A3C2B-6319-3ED0-44A1-CCFA935EE765}"/>
            </a:ext>
          </a:extLst>
        </xdr:cNvPr>
        <xdr:cNvSpPr txBox="1"/>
      </xdr:nvSpPr>
      <xdr:spPr>
        <a:xfrm>
          <a:off x="15662941" y="5326703"/>
          <a:ext cx="1087919" cy="300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tx2">
                  <a:lumMod val="75000"/>
                </a:schemeClr>
              </a:solidFill>
              <a:latin typeface="Lato Black" panose="020F0502020204030203" pitchFamily="34" charset="0"/>
              <a:ea typeface="Lato Black" panose="020F0502020204030203" pitchFamily="34" charset="0"/>
              <a:cs typeface="Lato Black" panose="020F0502020204030203" pitchFamily="34" charset="0"/>
            </a:rPr>
            <a:t>Department</a:t>
          </a:r>
        </a:p>
      </xdr:txBody>
    </xdr:sp>
    <xdr:clientData/>
  </xdr:twoCellAnchor>
  <xdr:twoCellAnchor>
    <xdr:from>
      <xdr:col>18</xdr:col>
      <xdr:colOff>247403</xdr:colOff>
      <xdr:row>13</xdr:row>
      <xdr:rowOff>159026</xdr:rowOff>
    </xdr:from>
    <xdr:to>
      <xdr:col>25</xdr:col>
      <xdr:colOff>362857</xdr:colOff>
      <xdr:row>25</xdr:row>
      <xdr:rowOff>105145</xdr:rowOff>
    </xdr:to>
    <mc:AlternateContent xmlns:mc="http://schemas.openxmlformats.org/markup-compatibility/2006">
      <mc:Choice xmlns:cx1="http://schemas.microsoft.com/office/drawing/2015/9/8/chartex" Requires="cx1">
        <xdr:graphicFrame macro="">
          <xdr:nvGraphicFramePr>
            <xdr:cNvPr id="54" name="Chart 53">
              <a:extLst>
                <a:ext uri="{FF2B5EF4-FFF2-40B4-BE49-F238E27FC236}">
                  <a16:creationId xmlns:a16="http://schemas.microsoft.com/office/drawing/2014/main" id="{75C96FF4-6024-4383-8FD0-603CC696D9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2020303" y="2635526"/>
              <a:ext cx="4693804" cy="223211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224679</xdr:colOff>
      <xdr:row>25</xdr:row>
      <xdr:rowOff>132957</xdr:rowOff>
    </xdr:from>
    <xdr:to>
      <xdr:col>27</xdr:col>
      <xdr:colOff>36280</xdr:colOff>
      <xdr:row>27</xdr:row>
      <xdr:rowOff>68863</xdr:rowOff>
    </xdr:to>
    <xdr:sp macro="" textlink="">
      <xdr:nvSpPr>
        <xdr:cNvPr id="55" name="TextBox 54">
          <a:extLst>
            <a:ext uri="{FF2B5EF4-FFF2-40B4-BE49-F238E27FC236}">
              <a16:creationId xmlns:a16="http://schemas.microsoft.com/office/drawing/2014/main" id="{4B596117-3EB4-F2D6-B507-2D7B1CBD1B4E}"/>
            </a:ext>
          </a:extLst>
        </xdr:cNvPr>
        <xdr:cNvSpPr txBox="1"/>
      </xdr:nvSpPr>
      <xdr:spPr>
        <a:xfrm>
          <a:off x="13831822" y="4992651"/>
          <a:ext cx="3906703" cy="324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Filters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120570</xdr:colOff>
      <xdr:row>0</xdr:row>
      <xdr:rowOff>96455</xdr:rowOff>
    </xdr:from>
    <xdr:to>
      <xdr:col>12</xdr:col>
      <xdr:colOff>563305</xdr:colOff>
      <xdr:row>5</xdr:row>
      <xdr:rowOff>42211</xdr:rowOff>
    </xdr:to>
    <xdr:sp macro="" textlink="">
      <xdr:nvSpPr>
        <xdr:cNvPr id="2" name="Rectangle: Rounded Corners 1">
          <a:extLst>
            <a:ext uri="{FF2B5EF4-FFF2-40B4-BE49-F238E27FC236}">
              <a16:creationId xmlns:a16="http://schemas.microsoft.com/office/drawing/2014/main" id="{6AC6BED5-8234-58DC-54E6-CFDCF1F86B36}"/>
            </a:ext>
          </a:extLst>
        </xdr:cNvPr>
        <xdr:cNvSpPr/>
      </xdr:nvSpPr>
      <xdr:spPr>
        <a:xfrm>
          <a:off x="120570" y="96455"/>
          <a:ext cx="8321040" cy="914400"/>
        </a:xfrm>
        <a:prstGeom prst="roundRect">
          <a:avLst/>
        </a:prstGeom>
        <a:solidFill>
          <a:schemeClr val="bg1">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7114</xdr:colOff>
      <xdr:row>0</xdr:row>
      <xdr:rowOff>96455</xdr:rowOff>
    </xdr:from>
    <xdr:to>
      <xdr:col>22</xdr:col>
      <xdr:colOff>41986</xdr:colOff>
      <xdr:row>5</xdr:row>
      <xdr:rowOff>42211</xdr:rowOff>
    </xdr:to>
    <xdr:sp macro="" textlink="">
      <xdr:nvSpPr>
        <xdr:cNvPr id="3" name="Rectangle: Rounded Corners 2">
          <a:extLst>
            <a:ext uri="{FF2B5EF4-FFF2-40B4-BE49-F238E27FC236}">
              <a16:creationId xmlns:a16="http://schemas.microsoft.com/office/drawing/2014/main" id="{86FB873D-AD08-86DE-C201-9FC9AF1110C5}"/>
            </a:ext>
          </a:extLst>
        </xdr:cNvPr>
        <xdr:cNvSpPr/>
      </xdr:nvSpPr>
      <xdr:spPr>
        <a:xfrm>
          <a:off x="8551763" y="96455"/>
          <a:ext cx="5950398" cy="948388"/>
        </a:xfrm>
        <a:prstGeom prst="roundRect">
          <a:avLst/>
        </a:prstGeom>
        <a:solidFill>
          <a:schemeClr val="bg1">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427885</xdr:colOff>
      <xdr:row>1</xdr:row>
      <xdr:rowOff>17526</xdr:rowOff>
    </xdr:from>
    <xdr:to>
      <xdr:col>12</xdr:col>
      <xdr:colOff>379768</xdr:colOff>
      <xdr:row>4</xdr:row>
      <xdr:rowOff>121141</xdr:rowOff>
    </xdr:to>
    <xdr:sp macro="" textlink="">
      <xdr:nvSpPr>
        <xdr:cNvPr id="4" name="TextBox 3">
          <a:extLst>
            <a:ext uri="{FF2B5EF4-FFF2-40B4-BE49-F238E27FC236}">
              <a16:creationId xmlns:a16="http://schemas.microsoft.com/office/drawing/2014/main" id="{30414073-0C20-4D55-BB6F-B51B0932021C}"/>
            </a:ext>
          </a:extLst>
        </xdr:cNvPr>
        <xdr:cNvSpPr txBox="1"/>
      </xdr:nvSpPr>
      <xdr:spPr>
        <a:xfrm>
          <a:off x="1084410" y="211255"/>
          <a:ext cx="7173663" cy="68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000">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rPr>
            <a:t>HR ANALYTICS</a:t>
          </a:r>
          <a:r>
            <a:rPr lang="en-GB" sz="4000" baseline="0">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rPr>
            <a:t> DASHBOARD</a:t>
          </a:r>
          <a:endParaRPr lang="en-GB" sz="4000">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0</xdr:col>
      <xdr:colOff>271252</xdr:colOff>
      <xdr:row>1</xdr:row>
      <xdr:rowOff>3284</xdr:rowOff>
    </xdr:from>
    <xdr:to>
      <xdr:col>1</xdr:col>
      <xdr:colOff>334534</xdr:colOff>
      <xdr:row>4</xdr:row>
      <xdr:rowOff>135383</xdr:rowOff>
    </xdr:to>
    <xdr:pic>
      <xdr:nvPicPr>
        <xdr:cNvPr id="5" name="Picture 4">
          <a:extLst>
            <a:ext uri="{FF2B5EF4-FFF2-40B4-BE49-F238E27FC236}">
              <a16:creationId xmlns:a16="http://schemas.microsoft.com/office/drawing/2014/main" id="{9F9C6724-0042-4B2B-8B63-66A91906C8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1252" y="197013"/>
          <a:ext cx="719807" cy="713285"/>
        </a:xfrm>
        <a:prstGeom prst="rect">
          <a:avLst/>
        </a:prstGeom>
      </xdr:spPr>
    </xdr:pic>
    <xdr:clientData/>
  </xdr:twoCellAnchor>
  <xdr:twoCellAnchor editAs="oneCell">
    <xdr:from>
      <xdr:col>13</xdr:col>
      <xdr:colOff>144213</xdr:colOff>
      <xdr:row>1</xdr:row>
      <xdr:rowOff>195</xdr:rowOff>
    </xdr:from>
    <xdr:to>
      <xdr:col>14</xdr:col>
      <xdr:colOff>207494</xdr:colOff>
      <xdr:row>4</xdr:row>
      <xdr:rowOff>138472</xdr:rowOff>
    </xdr:to>
    <xdr:pic>
      <xdr:nvPicPr>
        <xdr:cNvPr id="6" name="Picture 5">
          <a:extLst>
            <a:ext uri="{FF2B5EF4-FFF2-40B4-BE49-F238E27FC236}">
              <a16:creationId xmlns:a16="http://schemas.microsoft.com/office/drawing/2014/main" id="{D98A9B73-7E9E-4315-B771-55F64E1779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79044" y="193924"/>
          <a:ext cx="719806" cy="719463"/>
        </a:xfrm>
        <a:prstGeom prst="rect">
          <a:avLst/>
        </a:prstGeom>
      </xdr:spPr>
    </xdr:pic>
    <xdr:clientData/>
  </xdr:twoCellAnchor>
  <xdr:twoCellAnchor>
    <xdr:from>
      <xdr:col>14</xdr:col>
      <xdr:colOff>303600</xdr:colOff>
      <xdr:row>0</xdr:row>
      <xdr:rowOff>164189</xdr:rowOff>
    </xdr:from>
    <xdr:to>
      <xdr:col>16</xdr:col>
      <xdr:colOff>530303</xdr:colOff>
      <xdr:row>4</xdr:row>
      <xdr:rowOff>168206</xdr:rowOff>
    </xdr:to>
    <xdr:sp macro="" textlink="">
      <xdr:nvSpPr>
        <xdr:cNvPr id="7" name="TextBox 6">
          <a:extLst>
            <a:ext uri="{FF2B5EF4-FFF2-40B4-BE49-F238E27FC236}">
              <a16:creationId xmlns:a16="http://schemas.microsoft.com/office/drawing/2014/main" id="{3C1D6F3B-4907-4E04-9858-AC327E6FB0B2}"/>
            </a:ext>
          </a:extLst>
        </xdr:cNvPr>
        <xdr:cNvSpPr txBox="1"/>
      </xdr:nvSpPr>
      <xdr:spPr>
        <a:xfrm>
          <a:off x="9494956" y="164189"/>
          <a:ext cx="1539754" cy="77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JOB </a:t>
          </a:r>
        </a:p>
        <a:p>
          <a:pPr algn="ctr"/>
          <a:r>
            <a:rPr lang="en-GB" sz="14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SATISFACTION </a:t>
          </a:r>
          <a:endParaRPr lang="en-GB" sz="1400" baseline="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endParaRPr>
        </a:p>
        <a:p>
          <a:pPr algn="ctr"/>
          <a:r>
            <a:rPr lang="en-GB" sz="14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RATING</a:t>
          </a:r>
        </a:p>
      </xdr:txBody>
    </xdr:sp>
    <xdr:clientData/>
  </xdr:twoCellAnchor>
  <xdr:twoCellAnchor>
    <xdr:from>
      <xdr:col>16</xdr:col>
      <xdr:colOff>588491</xdr:colOff>
      <xdr:row>0</xdr:row>
      <xdr:rowOff>164705</xdr:rowOff>
    </xdr:from>
    <xdr:to>
      <xdr:col>18</xdr:col>
      <xdr:colOff>229560</xdr:colOff>
      <xdr:row>4</xdr:row>
      <xdr:rowOff>167691</xdr:rowOff>
    </xdr:to>
    <xdr:graphicFrame macro="">
      <xdr:nvGraphicFramePr>
        <xdr:cNvPr id="8" name="Chart 7">
          <a:extLst>
            <a:ext uri="{FF2B5EF4-FFF2-40B4-BE49-F238E27FC236}">
              <a16:creationId xmlns:a16="http://schemas.microsoft.com/office/drawing/2014/main" id="{8838221C-1095-486D-ADEB-B7BD34FF8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165914</xdr:colOff>
      <xdr:row>1</xdr:row>
      <xdr:rowOff>188429</xdr:rowOff>
    </xdr:from>
    <xdr:to>
      <xdr:col>17</xdr:col>
      <xdr:colOff>644773</xdr:colOff>
      <xdr:row>3</xdr:row>
      <xdr:rowOff>143967</xdr:rowOff>
    </xdr:to>
    <xdr:sp macro="" textlink="Rating!$B$8">
      <xdr:nvSpPr>
        <xdr:cNvPr id="9" name="TextBox 8">
          <a:extLst>
            <a:ext uri="{FF2B5EF4-FFF2-40B4-BE49-F238E27FC236}">
              <a16:creationId xmlns:a16="http://schemas.microsoft.com/office/drawing/2014/main" id="{8D2B4F25-CA54-439E-9481-9EA621D44AFC}"/>
            </a:ext>
          </a:extLst>
        </xdr:cNvPr>
        <xdr:cNvSpPr txBox="1"/>
      </xdr:nvSpPr>
      <xdr:spPr>
        <a:xfrm>
          <a:off x="11326846" y="382158"/>
          <a:ext cx="478859" cy="342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AA6FB6-B0C7-483E-8F78-B2FF94604C4D}" type="TxLink">
            <a:rPr lang="en-US" sz="1600" b="0" i="0" u="none" strike="noStrike">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GB" sz="1400">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230339</xdr:colOff>
      <xdr:row>0</xdr:row>
      <xdr:rowOff>180473</xdr:rowOff>
    </xdr:from>
    <xdr:to>
      <xdr:col>21</xdr:col>
      <xdr:colOff>565191</xdr:colOff>
      <xdr:row>4</xdr:row>
      <xdr:rowOff>151923</xdr:rowOff>
    </xdr:to>
    <xdr:graphicFrame macro="">
      <xdr:nvGraphicFramePr>
        <xdr:cNvPr id="10" name="Chart 9">
          <a:extLst>
            <a:ext uri="{FF2B5EF4-FFF2-40B4-BE49-F238E27FC236}">
              <a16:creationId xmlns:a16="http://schemas.microsoft.com/office/drawing/2014/main" id="{7B535390-D774-410D-92A4-7996642F4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248131</xdr:colOff>
      <xdr:row>1</xdr:row>
      <xdr:rowOff>83433</xdr:rowOff>
    </xdr:from>
    <xdr:to>
      <xdr:col>21</xdr:col>
      <xdr:colOff>554492</xdr:colOff>
      <xdr:row>4</xdr:row>
      <xdr:rowOff>55233</xdr:rowOff>
    </xdr:to>
    <xdr:sp macro="" textlink="">
      <xdr:nvSpPr>
        <xdr:cNvPr id="11" name="Freeform: Shape 10">
          <a:extLst>
            <a:ext uri="{FF2B5EF4-FFF2-40B4-BE49-F238E27FC236}">
              <a16:creationId xmlns:a16="http://schemas.microsoft.com/office/drawing/2014/main" id="{486F5A19-490C-44A6-B47F-490AA47D15A9}"/>
            </a:ext>
          </a:extLst>
        </xdr:cNvPr>
        <xdr:cNvSpPr/>
      </xdr:nvSpPr>
      <xdr:spPr>
        <a:xfrm>
          <a:off x="12065589" y="277162"/>
          <a:ext cx="2275937" cy="552986"/>
        </a:xfrm>
        <a:custGeom>
          <a:avLst/>
          <a:gdLst>
            <a:gd name="csX0" fmla="*/ 1387948 w 1668488"/>
            <a:gd name="csY0" fmla="*/ 35362 h 436485"/>
            <a:gd name="csX1" fmla="*/ 1344777 w 1668488"/>
            <a:gd name="csY1" fmla="*/ 175071 h 436485"/>
            <a:gd name="csX2" fmla="*/ 1205068 w 1668488"/>
            <a:gd name="csY2" fmla="*/ 175070 h 436485"/>
            <a:gd name="csX3" fmla="*/ 1318095 w 1668488"/>
            <a:gd name="csY3" fmla="*/ 261413 h 436485"/>
            <a:gd name="csX4" fmla="*/ 1274922 w 1668488"/>
            <a:gd name="csY4" fmla="*/ 401121 h 436485"/>
            <a:gd name="csX5" fmla="*/ 1387948 w 1668488"/>
            <a:gd name="csY5" fmla="*/ 314776 h 436485"/>
            <a:gd name="csX6" fmla="*/ 1500974 w 1668488"/>
            <a:gd name="csY6" fmla="*/ 401121 h 436485"/>
            <a:gd name="csX7" fmla="*/ 1457801 w 1668488"/>
            <a:gd name="csY7" fmla="*/ 261413 h 436485"/>
            <a:gd name="csX8" fmla="*/ 1570828 w 1668488"/>
            <a:gd name="csY8" fmla="*/ 175070 h 436485"/>
            <a:gd name="csX9" fmla="*/ 1431119 w 1668488"/>
            <a:gd name="csY9" fmla="*/ 175071 h 436485"/>
            <a:gd name="csX10" fmla="*/ 1016004 w 1668488"/>
            <a:gd name="csY10" fmla="*/ 35362 h 436485"/>
            <a:gd name="csX11" fmla="*/ 972833 w 1668488"/>
            <a:gd name="csY11" fmla="*/ 175071 h 436485"/>
            <a:gd name="csX12" fmla="*/ 833124 w 1668488"/>
            <a:gd name="csY12" fmla="*/ 175070 h 436485"/>
            <a:gd name="csX13" fmla="*/ 946151 w 1668488"/>
            <a:gd name="csY13" fmla="*/ 261413 h 436485"/>
            <a:gd name="csX14" fmla="*/ 902978 w 1668488"/>
            <a:gd name="csY14" fmla="*/ 401121 h 436485"/>
            <a:gd name="csX15" fmla="*/ 1016004 w 1668488"/>
            <a:gd name="csY15" fmla="*/ 314776 h 436485"/>
            <a:gd name="csX16" fmla="*/ 1129030 w 1668488"/>
            <a:gd name="csY16" fmla="*/ 401121 h 436485"/>
            <a:gd name="csX17" fmla="*/ 1085857 w 1668488"/>
            <a:gd name="csY17" fmla="*/ 261413 h 436485"/>
            <a:gd name="csX18" fmla="*/ 1198884 w 1668488"/>
            <a:gd name="csY18" fmla="*/ 175070 h 436485"/>
            <a:gd name="csX19" fmla="*/ 1059175 w 1668488"/>
            <a:gd name="csY19" fmla="*/ 175071 h 436485"/>
            <a:gd name="csX20" fmla="*/ 644060 w 1668488"/>
            <a:gd name="csY20" fmla="*/ 35362 h 436485"/>
            <a:gd name="csX21" fmla="*/ 600889 w 1668488"/>
            <a:gd name="csY21" fmla="*/ 175071 h 436485"/>
            <a:gd name="csX22" fmla="*/ 461180 w 1668488"/>
            <a:gd name="csY22" fmla="*/ 175070 h 436485"/>
            <a:gd name="csX23" fmla="*/ 574207 w 1668488"/>
            <a:gd name="csY23" fmla="*/ 261413 h 436485"/>
            <a:gd name="csX24" fmla="*/ 531034 w 1668488"/>
            <a:gd name="csY24" fmla="*/ 401121 h 436485"/>
            <a:gd name="csX25" fmla="*/ 644060 w 1668488"/>
            <a:gd name="csY25" fmla="*/ 314776 h 436485"/>
            <a:gd name="csX26" fmla="*/ 757086 w 1668488"/>
            <a:gd name="csY26" fmla="*/ 401121 h 436485"/>
            <a:gd name="csX27" fmla="*/ 713913 w 1668488"/>
            <a:gd name="csY27" fmla="*/ 261413 h 436485"/>
            <a:gd name="csX28" fmla="*/ 826940 w 1668488"/>
            <a:gd name="csY28" fmla="*/ 175070 h 436485"/>
            <a:gd name="csX29" fmla="*/ 687231 w 1668488"/>
            <a:gd name="csY29" fmla="*/ 175071 h 436485"/>
            <a:gd name="csX30" fmla="*/ 272116 w 1668488"/>
            <a:gd name="csY30" fmla="*/ 35362 h 436485"/>
            <a:gd name="csX31" fmla="*/ 228945 w 1668488"/>
            <a:gd name="csY31" fmla="*/ 175071 h 436485"/>
            <a:gd name="csX32" fmla="*/ 89236 w 1668488"/>
            <a:gd name="csY32" fmla="*/ 175070 h 436485"/>
            <a:gd name="csX33" fmla="*/ 202263 w 1668488"/>
            <a:gd name="csY33" fmla="*/ 261413 h 436485"/>
            <a:gd name="csX34" fmla="*/ 159090 w 1668488"/>
            <a:gd name="csY34" fmla="*/ 401121 h 436485"/>
            <a:gd name="csX35" fmla="*/ 272116 w 1668488"/>
            <a:gd name="csY35" fmla="*/ 314776 h 436485"/>
            <a:gd name="csX36" fmla="*/ 385142 w 1668488"/>
            <a:gd name="csY36" fmla="*/ 401121 h 436485"/>
            <a:gd name="csX37" fmla="*/ 341969 w 1668488"/>
            <a:gd name="csY37" fmla="*/ 261413 h 436485"/>
            <a:gd name="csX38" fmla="*/ 454996 w 1668488"/>
            <a:gd name="csY38" fmla="*/ 175070 h 436485"/>
            <a:gd name="csX39" fmla="*/ 315287 w 1668488"/>
            <a:gd name="csY39" fmla="*/ 175071 h 436485"/>
            <a:gd name="csX40" fmla="*/ 0 w 1668488"/>
            <a:gd name="csY40" fmla="*/ 0 h 436485"/>
            <a:gd name="csX41" fmla="*/ 1668488 w 1668488"/>
            <a:gd name="csY41" fmla="*/ 0 h 436485"/>
            <a:gd name="csX42" fmla="*/ 1668488 w 1668488"/>
            <a:gd name="csY42" fmla="*/ 436485 h 436485"/>
            <a:gd name="csX43" fmla="*/ 0 w 1668488"/>
            <a:gd name="csY43" fmla="*/ 436485 h 4364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668488" h="436485">
              <a:moveTo>
                <a:pt x="1387948" y="35362"/>
              </a:moveTo>
              <a:lnTo>
                <a:pt x="1344777" y="175071"/>
              </a:lnTo>
              <a:lnTo>
                <a:pt x="1205068" y="175070"/>
              </a:lnTo>
              <a:lnTo>
                <a:pt x="1318095" y="261413"/>
              </a:lnTo>
              <a:lnTo>
                <a:pt x="1274922" y="401121"/>
              </a:lnTo>
              <a:lnTo>
                <a:pt x="1387948" y="314776"/>
              </a:lnTo>
              <a:lnTo>
                <a:pt x="1500974" y="401121"/>
              </a:lnTo>
              <a:lnTo>
                <a:pt x="1457801" y="261413"/>
              </a:lnTo>
              <a:lnTo>
                <a:pt x="1570828" y="175070"/>
              </a:lnTo>
              <a:lnTo>
                <a:pt x="1431119" y="175071"/>
              </a:lnTo>
              <a:close/>
              <a:moveTo>
                <a:pt x="1016004" y="35362"/>
              </a:moveTo>
              <a:lnTo>
                <a:pt x="972833" y="175071"/>
              </a:lnTo>
              <a:lnTo>
                <a:pt x="833124" y="175070"/>
              </a:lnTo>
              <a:lnTo>
                <a:pt x="946151" y="261413"/>
              </a:lnTo>
              <a:lnTo>
                <a:pt x="902978" y="401121"/>
              </a:lnTo>
              <a:lnTo>
                <a:pt x="1016004" y="314776"/>
              </a:lnTo>
              <a:lnTo>
                <a:pt x="1129030" y="401121"/>
              </a:lnTo>
              <a:lnTo>
                <a:pt x="1085857" y="261413"/>
              </a:lnTo>
              <a:lnTo>
                <a:pt x="1198884" y="175070"/>
              </a:lnTo>
              <a:lnTo>
                <a:pt x="1059175" y="175071"/>
              </a:lnTo>
              <a:close/>
              <a:moveTo>
                <a:pt x="644060" y="35362"/>
              </a:moveTo>
              <a:lnTo>
                <a:pt x="600889" y="175071"/>
              </a:lnTo>
              <a:lnTo>
                <a:pt x="461180" y="175070"/>
              </a:lnTo>
              <a:lnTo>
                <a:pt x="574207" y="261413"/>
              </a:lnTo>
              <a:lnTo>
                <a:pt x="531034" y="401121"/>
              </a:lnTo>
              <a:lnTo>
                <a:pt x="644060" y="314776"/>
              </a:lnTo>
              <a:lnTo>
                <a:pt x="757086" y="401121"/>
              </a:lnTo>
              <a:lnTo>
                <a:pt x="713913" y="261413"/>
              </a:lnTo>
              <a:lnTo>
                <a:pt x="826940" y="175070"/>
              </a:lnTo>
              <a:lnTo>
                <a:pt x="687231" y="175071"/>
              </a:lnTo>
              <a:close/>
              <a:moveTo>
                <a:pt x="272116" y="35362"/>
              </a:moveTo>
              <a:lnTo>
                <a:pt x="228945" y="175071"/>
              </a:lnTo>
              <a:lnTo>
                <a:pt x="89236" y="175070"/>
              </a:lnTo>
              <a:lnTo>
                <a:pt x="202263" y="261413"/>
              </a:lnTo>
              <a:lnTo>
                <a:pt x="159090" y="401121"/>
              </a:lnTo>
              <a:lnTo>
                <a:pt x="272116" y="314776"/>
              </a:lnTo>
              <a:lnTo>
                <a:pt x="385142" y="401121"/>
              </a:lnTo>
              <a:lnTo>
                <a:pt x="341969" y="261413"/>
              </a:lnTo>
              <a:lnTo>
                <a:pt x="454996" y="175070"/>
              </a:lnTo>
              <a:lnTo>
                <a:pt x="315287" y="175071"/>
              </a:lnTo>
              <a:close/>
              <a:moveTo>
                <a:pt x="0" y="0"/>
              </a:moveTo>
              <a:lnTo>
                <a:pt x="1668488" y="0"/>
              </a:lnTo>
              <a:lnTo>
                <a:pt x="1668488" y="436485"/>
              </a:lnTo>
              <a:lnTo>
                <a:pt x="0" y="436485"/>
              </a:lnTo>
              <a:close/>
            </a:path>
          </a:pathLst>
        </a:cu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GB" sz="1100"/>
        </a:p>
      </xdr:txBody>
    </xdr:sp>
    <xdr:clientData/>
  </xdr:twoCellAnchor>
  <xdr:twoCellAnchor>
    <xdr:from>
      <xdr:col>0</xdr:col>
      <xdr:colOff>120570</xdr:colOff>
      <xdr:row>5</xdr:row>
      <xdr:rowOff>155323</xdr:rowOff>
    </xdr:from>
    <xdr:to>
      <xdr:col>4</xdr:col>
      <xdr:colOff>234647</xdr:colOff>
      <xdr:row>10</xdr:row>
      <xdr:rowOff>101079</xdr:rowOff>
    </xdr:to>
    <xdr:sp macro="" textlink="">
      <xdr:nvSpPr>
        <xdr:cNvPr id="12" name="Rectangle: Rounded Corners 11">
          <a:extLst>
            <a:ext uri="{FF2B5EF4-FFF2-40B4-BE49-F238E27FC236}">
              <a16:creationId xmlns:a16="http://schemas.microsoft.com/office/drawing/2014/main" id="{79480FFC-0E64-2552-9142-D1A085AA6951}"/>
            </a:ext>
          </a:extLst>
        </xdr:cNvPr>
        <xdr:cNvSpPr/>
      </xdr:nvSpPr>
      <xdr:spPr>
        <a:xfrm>
          <a:off x="120570" y="1144257"/>
          <a:ext cx="2758175" cy="934691"/>
        </a:xfrm>
        <a:prstGeom prst="roundRect">
          <a:avLst/>
        </a:prstGeom>
        <a:solidFill>
          <a:schemeClr val="bg1">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401045</xdr:colOff>
      <xdr:row>5</xdr:row>
      <xdr:rowOff>155323</xdr:rowOff>
    </xdr:from>
    <xdr:to>
      <xdr:col>8</xdr:col>
      <xdr:colOff>515122</xdr:colOff>
      <xdr:row>10</xdr:row>
      <xdr:rowOff>101079</xdr:rowOff>
    </xdr:to>
    <xdr:sp macro="" textlink="">
      <xdr:nvSpPr>
        <xdr:cNvPr id="13" name="Rectangle: Rounded Corners 12">
          <a:extLst>
            <a:ext uri="{FF2B5EF4-FFF2-40B4-BE49-F238E27FC236}">
              <a16:creationId xmlns:a16="http://schemas.microsoft.com/office/drawing/2014/main" id="{2753BF7A-F068-DB77-71F4-9113FA188454}"/>
            </a:ext>
          </a:extLst>
        </xdr:cNvPr>
        <xdr:cNvSpPr/>
      </xdr:nvSpPr>
      <xdr:spPr>
        <a:xfrm>
          <a:off x="3030168" y="1157955"/>
          <a:ext cx="2743200" cy="948387"/>
        </a:xfrm>
        <a:prstGeom prst="roundRect">
          <a:avLst/>
        </a:prstGeom>
        <a:solidFill>
          <a:schemeClr val="bg1">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24240</xdr:colOff>
      <xdr:row>5</xdr:row>
      <xdr:rowOff>155323</xdr:rowOff>
    </xdr:from>
    <xdr:to>
      <xdr:col>13</xdr:col>
      <xdr:colOff>138317</xdr:colOff>
      <xdr:row>10</xdr:row>
      <xdr:rowOff>101079</xdr:rowOff>
    </xdr:to>
    <xdr:sp macro="" textlink="">
      <xdr:nvSpPr>
        <xdr:cNvPr id="14" name="Rectangle: Rounded Corners 13">
          <a:extLst>
            <a:ext uri="{FF2B5EF4-FFF2-40B4-BE49-F238E27FC236}">
              <a16:creationId xmlns:a16="http://schemas.microsoft.com/office/drawing/2014/main" id="{6B073921-5ED5-63CD-0CE9-9E84B65BD5D8}"/>
            </a:ext>
          </a:extLst>
        </xdr:cNvPr>
        <xdr:cNvSpPr/>
      </xdr:nvSpPr>
      <xdr:spPr>
        <a:xfrm>
          <a:off x="5939766" y="1157955"/>
          <a:ext cx="2743200" cy="948387"/>
        </a:xfrm>
        <a:prstGeom prst="roundRect">
          <a:avLst/>
        </a:prstGeom>
        <a:solidFill>
          <a:schemeClr val="bg1">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304715</xdr:colOff>
      <xdr:row>5</xdr:row>
      <xdr:rowOff>155323</xdr:rowOff>
    </xdr:from>
    <xdr:to>
      <xdr:col>17</xdr:col>
      <xdr:colOff>418792</xdr:colOff>
      <xdr:row>10</xdr:row>
      <xdr:rowOff>101079</xdr:rowOff>
    </xdr:to>
    <xdr:sp macro="" textlink="">
      <xdr:nvSpPr>
        <xdr:cNvPr id="15" name="Rectangle: Rounded Corners 14">
          <a:extLst>
            <a:ext uri="{FF2B5EF4-FFF2-40B4-BE49-F238E27FC236}">
              <a16:creationId xmlns:a16="http://schemas.microsoft.com/office/drawing/2014/main" id="{406519AD-F284-2EFE-3814-4715C87188AD}"/>
            </a:ext>
          </a:extLst>
        </xdr:cNvPr>
        <xdr:cNvSpPr/>
      </xdr:nvSpPr>
      <xdr:spPr>
        <a:xfrm>
          <a:off x="8849364" y="1157955"/>
          <a:ext cx="2743200" cy="948387"/>
        </a:xfrm>
        <a:prstGeom prst="roundRect">
          <a:avLst/>
        </a:prstGeom>
        <a:solidFill>
          <a:schemeClr val="bg1">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585189</xdr:colOff>
      <xdr:row>5</xdr:row>
      <xdr:rowOff>155323</xdr:rowOff>
    </xdr:from>
    <xdr:to>
      <xdr:col>22</xdr:col>
      <xdr:colOff>41986</xdr:colOff>
      <xdr:row>10</xdr:row>
      <xdr:rowOff>101079</xdr:rowOff>
    </xdr:to>
    <xdr:sp macro="" textlink="">
      <xdr:nvSpPr>
        <xdr:cNvPr id="16" name="Rectangle: Rounded Corners 15">
          <a:extLst>
            <a:ext uri="{FF2B5EF4-FFF2-40B4-BE49-F238E27FC236}">
              <a16:creationId xmlns:a16="http://schemas.microsoft.com/office/drawing/2014/main" id="{FC4F649C-A649-4917-48EE-1E947AC86767}"/>
            </a:ext>
          </a:extLst>
        </xdr:cNvPr>
        <xdr:cNvSpPr/>
      </xdr:nvSpPr>
      <xdr:spPr>
        <a:xfrm>
          <a:off x="11841514" y="1132246"/>
          <a:ext cx="2767481" cy="922679"/>
        </a:xfrm>
        <a:prstGeom prst="roundRect">
          <a:avLst/>
        </a:prstGeom>
        <a:solidFill>
          <a:schemeClr val="bg1">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120570</xdr:colOff>
      <xdr:row>11</xdr:row>
      <xdr:rowOff>8807</xdr:rowOff>
    </xdr:from>
    <xdr:to>
      <xdr:col>6</xdr:col>
      <xdr:colOff>428787</xdr:colOff>
      <xdr:row>24</xdr:row>
      <xdr:rowOff>148889</xdr:rowOff>
    </xdr:to>
    <xdr:sp macro="" textlink="">
      <xdr:nvSpPr>
        <xdr:cNvPr id="30" name="Rectangle: Rounded Corners 29">
          <a:extLst>
            <a:ext uri="{FF2B5EF4-FFF2-40B4-BE49-F238E27FC236}">
              <a16:creationId xmlns:a16="http://schemas.microsoft.com/office/drawing/2014/main" id="{A588354B-4D51-85EE-1CA8-DE55BA13D537}"/>
            </a:ext>
          </a:extLst>
        </xdr:cNvPr>
        <xdr:cNvSpPr/>
      </xdr:nvSpPr>
      <xdr:spPr>
        <a:xfrm>
          <a:off x="120570" y="2196879"/>
          <a:ext cx="4255928" cy="2725986"/>
        </a:xfrm>
        <a:prstGeom prst="roundRect">
          <a:avLst>
            <a:gd name="adj" fmla="val 6331"/>
          </a:avLst>
        </a:prstGeom>
        <a:solidFill>
          <a:schemeClr val="bg1">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232737</xdr:colOff>
      <xdr:row>13</xdr:row>
      <xdr:rowOff>105816</xdr:rowOff>
    </xdr:from>
    <xdr:to>
      <xdr:col>6</xdr:col>
      <xdr:colOff>316621</xdr:colOff>
      <xdr:row>13</xdr:row>
      <xdr:rowOff>105816</xdr:rowOff>
    </xdr:to>
    <xdr:cxnSp macro="">
      <xdr:nvCxnSpPr>
        <xdr:cNvPr id="35" name="Straight Connector 34">
          <a:extLst>
            <a:ext uri="{FF2B5EF4-FFF2-40B4-BE49-F238E27FC236}">
              <a16:creationId xmlns:a16="http://schemas.microsoft.com/office/drawing/2014/main" id="{E4D504DD-CDDB-57C2-2F9B-0D456039107C}"/>
            </a:ext>
          </a:extLst>
        </xdr:cNvPr>
        <xdr:cNvCxnSpPr/>
      </xdr:nvCxnSpPr>
      <xdr:spPr>
        <a:xfrm>
          <a:off x="232737" y="2680770"/>
          <a:ext cx="4033701" cy="0"/>
        </a:xfrm>
        <a:prstGeom prst="line">
          <a:avLst/>
        </a:prstGeom>
        <a:ln w="19050">
          <a:solidFill>
            <a:schemeClr val="accent6">
              <a:lumMod val="50000"/>
            </a:schemeClr>
          </a:solidFill>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0</xdr:col>
      <xdr:colOff>120570</xdr:colOff>
      <xdr:row>25</xdr:row>
      <xdr:rowOff>53053</xdr:rowOff>
    </xdr:from>
    <xdr:to>
      <xdr:col>6</xdr:col>
      <xdr:colOff>428787</xdr:colOff>
      <xdr:row>38</xdr:row>
      <xdr:rowOff>193136</xdr:rowOff>
    </xdr:to>
    <xdr:sp macro="" textlink="">
      <xdr:nvSpPr>
        <xdr:cNvPr id="31" name="Rectangle: Rounded Corners 30">
          <a:extLst>
            <a:ext uri="{FF2B5EF4-FFF2-40B4-BE49-F238E27FC236}">
              <a16:creationId xmlns:a16="http://schemas.microsoft.com/office/drawing/2014/main" id="{D731751E-63F7-4791-997D-A8ED39AD8FE7}"/>
            </a:ext>
          </a:extLst>
        </xdr:cNvPr>
        <xdr:cNvSpPr/>
      </xdr:nvSpPr>
      <xdr:spPr>
        <a:xfrm>
          <a:off x="120570" y="4937668"/>
          <a:ext cx="4281038" cy="2680083"/>
        </a:xfrm>
        <a:prstGeom prst="roundRect">
          <a:avLst>
            <a:gd name="adj" fmla="val 6331"/>
          </a:avLst>
        </a:prstGeom>
        <a:solidFill>
          <a:schemeClr val="bg1">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232737</xdr:colOff>
      <xdr:row>27</xdr:row>
      <xdr:rowOff>150062</xdr:rowOff>
    </xdr:from>
    <xdr:to>
      <xdr:col>6</xdr:col>
      <xdr:colOff>316621</xdr:colOff>
      <xdr:row>27</xdr:row>
      <xdr:rowOff>150062</xdr:rowOff>
    </xdr:to>
    <xdr:cxnSp macro="">
      <xdr:nvCxnSpPr>
        <xdr:cNvPr id="36" name="Straight Connector 35">
          <a:extLst>
            <a:ext uri="{FF2B5EF4-FFF2-40B4-BE49-F238E27FC236}">
              <a16:creationId xmlns:a16="http://schemas.microsoft.com/office/drawing/2014/main" id="{D7F58698-9566-D601-BFE8-2D5188D4BD03}"/>
            </a:ext>
          </a:extLst>
        </xdr:cNvPr>
        <xdr:cNvCxnSpPr/>
      </xdr:nvCxnSpPr>
      <xdr:spPr>
        <a:xfrm>
          <a:off x="232737" y="5470924"/>
          <a:ext cx="4041686" cy="0"/>
        </a:xfrm>
        <a:prstGeom prst="line">
          <a:avLst/>
        </a:prstGeom>
        <a:ln w="19050">
          <a:solidFill>
            <a:schemeClr val="accent6">
              <a:lumMod val="50000"/>
            </a:schemeClr>
          </a:solidFill>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6</xdr:col>
      <xdr:colOff>602478</xdr:colOff>
      <xdr:row>11</xdr:row>
      <xdr:rowOff>8807</xdr:rowOff>
    </xdr:from>
    <xdr:to>
      <xdr:col>14</xdr:col>
      <xdr:colOff>235386</xdr:colOff>
      <xdr:row>24</xdr:row>
      <xdr:rowOff>148889</xdr:rowOff>
    </xdr:to>
    <xdr:sp macro="" textlink="">
      <xdr:nvSpPr>
        <xdr:cNvPr id="37" name="Rectangle: Rounded Corners 36">
          <a:extLst>
            <a:ext uri="{FF2B5EF4-FFF2-40B4-BE49-F238E27FC236}">
              <a16:creationId xmlns:a16="http://schemas.microsoft.com/office/drawing/2014/main" id="{BCACB4EA-6B73-5AFC-D29F-42AEDFC53747}"/>
            </a:ext>
          </a:extLst>
        </xdr:cNvPr>
        <xdr:cNvSpPr/>
      </xdr:nvSpPr>
      <xdr:spPr>
        <a:xfrm>
          <a:off x="4550189" y="2196879"/>
          <a:ext cx="4896522" cy="2725986"/>
        </a:xfrm>
        <a:prstGeom prst="roundRect">
          <a:avLst>
            <a:gd name="adj" fmla="val 6331"/>
          </a:avLst>
        </a:prstGeom>
        <a:solidFill>
          <a:schemeClr val="bg1">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61508</xdr:colOff>
      <xdr:row>13</xdr:row>
      <xdr:rowOff>105816</xdr:rowOff>
    </xdr:from>
    <xdr:to>
      <xdr:col>14</xdr:col>
      <xdr:colOff>94598</xdr:colOff>
      <xdr:row>13</xdr:row>
      <xdr:rowOff>105816</xdr:rowOff>
    </xdr:to>
    <xdr:cxnSp macro="">
      <xdr:nvCxnSpPr>
        <xdr:cNvPr id="38" name="Straight Connector 37">
          <a:extLst>
            <a:ext uri="{FF2B5EF4-FFF2-40B4-BE49-F238E27FC236}">
              <a16:creationId xmlns:a16="http://schemas.microsoft.com/office/drawing/2014/main" id="{4518F30A-05A6-0FC9-1AF1-614913B3A1BB}"/>
            </a:ext>
          </a:extLst>
        </xdr:cNvPr>
        <xdr:cNvCxnSpPr/>
      </xdr:nvCxnSpPr>
      <xdr:spPr>
        <a:xfrm>
          <a:off x="4674244" y="2675769"/>
          <a:ext cx="4645826" cy="0"/>
        </a:xfrm>
        <a:prstGeom prst="line">
          <a:avLst/>
        </a:prstGeom>
        <a:ln w="19050">
          <a:solidFill>
            <a:schemeClr val="accent6">
              <a:lumMod val="50000"/>
            </a:schemeClr>
          </a:solidFill>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14</xdr:col>
      <xdr:colOff>409077</xdr:colOff>
      <xdr:row>11</xdr:row>
      <xdr:rowOff>8807</xdr:rowOff>
    </xdr:from>
    <xdr:to>
      <xdr:col>22</xdr:col>
      <xdr:colOff>41986</xdr:colOff>
      <xdr:row>24</xdr:row>
      <xdr:rowOff>148889</xdr:rowOff>
    </xdr:to>
    <xdr:sp macro="" textlink="">
      <xdr:nvSpPr>
        <xdr:cNvPr id="40" name="Rectangle: Rounded Corners 39">
          <a:extLst>
            <a:ext uri="{FF2B5EF4-FFF2-40B4-BE49-F238E27FC236}">
              <a16:creationId xmlns:a16="http://schemas.microsoft.com/office/drawing/2014/main" id="{AD146D8B-C11D-A9FE-2E80-D21E8C67521F}"/>
            </a:ext>
          </a:extLst>
        </xdr:cNvPr>
        <xdr:cNvSpPr/>
      </xdr:nvSpPr>
      <xdr:spPr>
        <a:xfrm>
          <a:off x="9620402" y="2196879"/>
          <a:ext cx="4896524" cy="2725986"/>
        </a:xfrm>
        <a:prstGeom prst="roundRect">
          <a:avLst>
            <a:gd name="adj" fmla="val 6331"/>
          </a:avLst>
        </a:prstGeom>
        <a:solidFill>
          <a:schemeClr val="bg1">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526409</xdr:colOff>
      <xdr:row>13</xdr:row>
      <xdr:rowOff>105816</xdr:rowOff>
    </xdr:from>
    <xdr:to>
      <xdr:col>21</xdr:col>
      <xdr:colOff>559501</xdr:colOff>
      <xdr:row>13</xdr:row>
      <xdr:rowOff>105816</xdr:rowOff>
    </xdr:to>
    <xdr:cxnSp macro="">
      <xdr:nvCxnSpPr>
        <xdr:cNvPr id="41" name="Straight Connector 40">
          <a:extLst>
            <a:ext uri="{FF2B5EF4-FFF2-40B4-BE49-F238E27FC236}">
              <a16:creationId xmlns:a16="http://schemas.microsoft.com/office/drawing/2014/main" id="{52AD856E-7340-F4C4-FCA7-2816780EBE4E}"/>
            </a:ext>
          </a:extLst>
        </xdr:cNvPr>
        <xdr:cNvCxnSpPr/>
      </xdr:nvCxnSpPr>
      <xdr:spPr>
        <a:xfrm>
          <a:off x="9766409" y="2640816"/>
          <a:ext cx="4653092" cy="0"/>
        </a:xfrm>
        <a:prstGeom prst="line">
          <a:avLst/>
        </a:prstGeom>
        <a:ln w="19050">
          <a:solidFill>
            <a:schemeClr val="accent6">
              <a:lumMod val="50000"/>
            </a:schemeClr>
          </a:solidFill>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6</xdr:col>
      <xdr:colOff>574416</xdr:colOff>
      <xdr:row>25</xdr:row>
      <xdr:rowOff>53053</xdr:rowOff>
    </xdr:from>
    <xdr:to>
      <xdr:col>12</xdr:col>
      <xdr:colOff>562652</xdr:colOff>
      <xdr:row>38</xdr:row>
      <xdr:rowOff>193136</xdr:rowOff>
    </xdr:to>
    <xdr:sp macro="" textlink="">
      <xdr:nvSpPr>
        <xdr:cNvPr id="66" name="Rectangle: Rounded Corners 65">
          <a:extLst>
            <a:ext uri="{FF2B5EF4-FFF2-40B4-BE49-F238E27FC236}">
              <a16:creationId xmlns:a16="http://schemas.microsoft.com/office/drawing/2014/main" id="{AFA324E9-9E2D-F22C-D1DF-CCFEBFD47722}"/>
            </a:ext>
          </a:extLst>
        </xdr:cNvPr>
        <xdr:cNvSpPr/>
      </xdr:nvSpPr>
      <xdr:spPr>
        <a:xfrm>
          <a:off x="4547237" y="4937668"/>
          <a:ext cx="3961056" cy="2680083"/>
        </a:xfrm>
        <a:prstGeom prst="roundRect">
          <a:avLst>
            <a:gd name="adj" fmla="val 6331"/>
          </a:avLst>
        </a:prstGeom>
        <a:solidFill>
          <a:schemeClr val="bg1">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19851</xdr:colOff>
      <xdr:row>27</xdr:row>
      <xdr:rowOff>150062</xdr:rowOff>
    </xdr:from>
    <xdr:to>
      <xdr:col>12</xdr:col>
      <xdr:colOff>458914</xdr:colOff>
      <xdr:row>27</xdr:row>
      <xdr:rowOff>150062</xdr:rowOff>
    </xdr:to>
    <xdr:cxnSp macro="">
      <xdr:nvCxnSpPr>
        <xdr:cNvPr id="67" name="Straight Connector 66">
          <a:extLst>
            <a:ext uri="{FF2B5EF4-FFF2-40B4-BE49-F238E27FC236}">
              <a16:creationId xmlns:a16="http://schemas.microsoft.com/office/drawing/2014/main" id="{0470EA26-A0B4-3CA9-9019-D8AEDE57BFE4}"/>
            </a:ext>
          </a:extLst>
        </xdr:cNvPr>
        <xdr:cNvCxnSpPr/>
      </xdr:nvCxnSpPr>
      <xdr:spPr>
        <a:xfrm>
          <a:off x="4640891" y="5412389"/>
          <a:ext cx="3739805" cy="0"/>
        </a:xfrm>
        <a:prstGeom prst="line">
          <a:avLst/>
        </a:prstGeom>
        <a:ln w="19050">
          <a:solidFill>
            <a:schemeClr val="accent6">
              <a:lumMod val="50000"/>
            </a:schemeClr>
          </a:solidFill>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13</xdr:col>
      <xdr:colOff>51000</xdr:colOff>
      <xdr:row>25</xdr:row>
      <xdr:rowOff>53053</xdr:rowOff>
    </xdr:from>
    <xdr:to>
      <xdr:col>17</xdr:col>
      <xdr:colOff>302318</xdr:colOff>
      <xdr:row>38</xdr:row>
      <xdr:rowOff>193136</xdr:rowOff>
    </xdr:to>
    <xdr:sp macro="" textlink="">
      <xdr:nvSpPr>
        <xdr:cNvPr id="69" name="Rectangle: Rounded Corners 68">
          <a:extLst>
            <a:ext uri="{FF2B5EF4-FFF2-40B4-BE49-F238E27FC236}">
              <a16:creationId xmlns:a16="http://schemas.microsoft.com/office/drawing/2014/main" id="{8D859491-FFB2-042C-620A-460DD23E3524}"/>
            </a:ext>
          </a:extLst>
        </xdr:cNvPr>
        <xdr:cNvSpPr/>
      </xdr:nvSpPr>
      <xdr:spPr>
        <a:xfrm>
          <a:off x="8658778" y="4937668"/>
          <a:ext cx="2899865" cy="2680083"/>
        </a:xfrm>
        <a:prstGeom prst="roundRect">
          <a:avLst>
            <a:gd name="adj" fmla="val 6331"/>
          </a:avLst>
        </a:prstGeom>
        <a:solidFill>
          <a:schemeClr val="bg1">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126985</xdr:colOff>
      <xdr:row>27</xdr:row>
      <xdr:rowOff>150062</xdr:rowOff>
    </xdr:from>
    <xdr:to>
      <xdr:col>17</xdr:col>
      <xdr:colOff>226333</xdr:colOff>
      <xdr:row>27</xdr:row>
      <xdr:rowOff>150062</xdr:rowOff>
    </xdr:to>
    <xdr:cxnSp macro="">
      <xdr:nvCxnSpPr>
        <xdr:cNvPr id="70" name="Straight Connector 69">
          <a:extLst>
            <a:ext uri="{FF2B5EF4-FFF2-40B4-BE49-F238E27FC236}">
              <a16:creationId xmlns:a16="http://schemas.microsoft.com/office/drawing/2014/main" id="{4B3E96F2-EC92-F6C1-4E04-E6FA639D5191}"/>
            </a:ext>
          </a:extLst>
        </xdr:cNvPr>
        <xdr:cNvCxnSpPr/>
      </xdr:nvCxnSpPr>
      <xdr:spPr>
        <a:xfrm>
          <a:off x="8702568" y="5476664"/>
          <a:ext cx="2737988" cy="0"/>
        </a:xfrm>
        <a:prstGeom prst="line">
          <a:avLst/>
        </a:prstGeom>
        <a:ln w="19050">
          <a:solidFill>
            <a:schemeClr val="accent6">
              <a:lumMod val="50000"/>
            </a:schemeClr>
          </a:solidFill>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447948</xdr:colOff>
      <xdr:row>25</xdr:row>
      <xdr:rowOff>53053</xdr:rowOff>
    </xdr:from>
    <xdr:to>
      <xdr:col>22</xdr:col>
      <xdr:colOff>41986</xdr:colOff>
      <xdr:row>38</xdr:row>
      <xdr:rowOff>193136</xdr:rowOff>
    </xdr:to>
    <xdr:sp macro="" textlink="">
      <xdr:nvSpPr>
        <xdr:cNvPr id="72" name="Rectangle: Rounded Corners 71">
          <a:extLst>
            <a:ext uri="{FF2B5EF4-FFF2-40B4-BE49-F238E27FC236}">
              <a16:creationId xmlns:a16="http://schemas.microsoft.com/office/drawing/2014/main" id="{20F65781-E96A-9711-29A4-FFFA760039BB}"/>
            </a:ext>
          </a:extLst>
        </xdr:cNvPr>
        <xdr:cNvSpPr/>
      </xdr:nvSpPr>
      <xdr:spPr>
        <a:xfrm>
          <a:off x="11639095" y="5004888"/>
          <a:ext cx="2885552" cy="2715037"/>
        </a:xfrm>
        <a:prstGeom prst="roundRect">
          <a:avLst>
            <a:gd name="adj" fmla="val 6331"/>
          </a:avLst>
        </a:prstGeom>
        <a:solidFill>
          <a:schemeClr val="bg1">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523960</xdr:colOff>
      <xdr:row>27</xdr:row>
      <xdr:rowOff>150062</xdr:rowOff>
    </xdr:from>
    <xdr:to>
      <xdr:col>21</xdr:col>
      <xdr:colOff>624277</xdr:colOff>
      <xdr:row>27</xdr:row>
      <xdr:rowOff>150062</xdr:rowOff>
    </xdr:to>
    <xdr:cxnSp macro="">
      <xdr:nvCxnSpPr>
        <xdr:cNvPr id="73" name="Straight Connector 72">
          <a:extLst>
            <a:ext uri="{FF2B5EF4-FFF2-40B4-BE49-F238E27FC236}">
              <a16:creationId xmlns:a16="http://schemas.microsoft.com/office/drawing/2014/main" id="{9E444420-72F6-336A-79C6-9B3DC06A2FE4}"/>
            </a:ext>
          </a:extLst>
        </xdr:cNvPr>
        <xdr:cNvCxnSpPr/>
      </xdr:nvCxnSpPr>
      <xdr:spPr>
        <a:xfrm>
          <a:off x="11738183" y="5476664"/>
          <a:ext cx="2738958" cy="0"/>
        </a:xfrm>
        <a:prstGeom prst="line">
          <a:avLst/>
        </a:prstGeom>
        <a:ln w="19050">
          <a:solidFill>
            <a:schemeClr val="accent6">
              <a:lumMod val="50000"/>
            </a:schemeClr>
          </a:solidFill>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0</xdr:col>
      <xdr:colOff>120570</xdr:colOff>
      <xdr:row>6</xdr:row>
      <xdr:rowOff>64508</xdr:rowOff>
    </xdr:from>
    <xdr:to>
      <xdr:col>3</xdr:col>
      <xdr:colOff>328720</xdr:colOff>
      <xdr:row>7</xdr:row>
      <xdr:rowOff>143444</xdr:rowOff>
    </xdr:to>
    <xdr:sp macro="" textlink="">
      <xdr:nvSpPr>
        <xdr:cNvPr id="74" name="TextBox 73">
          <a:extLst>
            <a:ext uri="{FF2B5EF4-FFF2-40B4-BE49-F238E27FC236}">
              <a16:creationId xmlns:a16="http://schemas.microsoft.com/office/drawing/2014/main" id="{249132C0-E9A0-4D74-A066-F748AB83B2BD}"/>
            </a:ext>
          </a:extLst>
        </xdr:cNvPr>
        <xdr:cNvSpPr txBox="1"/>
      </xdr:nvSpPr>
      <xdr:spPr>
        <a:xfrm>
          <a:off x="120570" y="1226093"/>
          <a:ext cx="2182845" cy="2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Total Employees</a:t>
          </a:r>
        </a:p>
      </xdr:txBody>
    </xdr:sp>
    <xdr:clientData/>
  </xdr:twoCellAnchor>
  <xdr:twoCellAnchor>
    <xdr:from>
      <xdr:col>0</xdr:col>
      <xdr:colOff>120570</xdr:colOff>
      <xdr:row>8</xdr:row>
      <xdr:rowOff>32719</xdr:rowOff>
    </xdr:from>
    <xdr:to>
      <xdr:col>4</xdr:col>
      <xdr:colOff>233056</xdr:colOff>
      <xdr:row>10</xdr:row>
      <xdr:rowOff>576</xdr:rowOff>
    </xdr:to>
    <xdr:sp macro="" textlink="KPI!A8">
      <xdr:nvSpPr>
        <xdr:cNvPr id="75" name="TextBox 74">
          <a:extLst>
            <a:ext uri="{FF2B5EF4-FFF2-40B4-BE49-F238E27FC236}">
              <a16:creationId xmlns:a16="http://schemas.microsoft.com/office/drawing/2014/main" id="{2D3D03DF-2166-465B-9EA3-CCFACB3CAD2D}"/>
            </a:ext>
          </a:extLst>
        </xdr:cNvPr>
        <xdr:cNvSpPr txBox="1"/>
      </xdr:nvSpPr>
      <xdr:spPr>
        <a:xfrm>
          <a:off x="120570" y="1595796"/>
          <a:ext cx="2761033" cy="35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6F38D2-92E3-49C0-BF5A-145EC8D0FC39}" type="TxLink">
            <a:rPr lang="en-US" sz="2400" b="0" i="0" u="none" strike="noStrike">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GB" sz="2400">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402757</xdr:colOff>
      <xdr:row>6</xdr:row>
      <xdr:rowOff>64508</xdr:rowOff>
    </xdr:from>
    <xdr:to>
      <xdr:col>7</xdr:col>
      <xdr:colOff>610907</xdr:colOff>
      <xdr:row>7</xdr:row>
      <xdr:rowOff>143444</xdr:rowOff>
    </xdr:to>
    <xdr:sp macro="" textlink="">
      <xdr:nvSpPr>
        <xdr:cNvPr id="76" name="TextBox 75">
          <a:extLst>
            <a:ext uri="{FF2B5EF4-FFF2-40B4-BE49-F238E27FC236}">
              <a16:creationId xmlns:a16="http://schemas.microsoft.com/office/drawing/2014/main" id="{03A532AF-E164-4401-A739-48A4786D3109}"/>
            </a:ext>
          </a:extLst>
        </xdr:cNvPr>
        <xdr:cNvSpPr txBox="1"/>
      </xdr:nvSpPr>
      <xdr:spPr>
        <a:xfrm>
          <a:off x="3035684" y="1226093"/>
          <a:ext cx="2182845" cy="2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4</xdr:col>
      <xdr:colOff>401642</xdr:colOff>
      <xdr:row>8</xdr:row>
      <xdr:rowOff>32719</xdr:rowOff>
    </xdr:from>
    <xdr:to>
      <xdr:col>8</xdr:col>
      <xdr:colOff>514127</xdr:colOff>
      <xdr:row>10</xdr:row>
      <xdr:rowOff>576</xdr:rowOff>
    </xdr:to>
    <xdr:sp macro="" textlink="KPI!B8">
      <xdr:nvSpPr>
        <xdr:cNvPr id="77" name="TextBox 76">
          <a:extLst>
            <a:ext uri="{FF2B5EF4-FFF2-40B4-BE49-F238E27FC236}">
              <a16:creationId xmlns:a16="http://schemas.microsoft.com/office/drawing/2014/main" id="{E7315F46-391B-48E4-9199-1FE47D2C15F0}"/>
            </a:ext>
          </a:extLst>
        </xdr:cNvPr>
        <xdr:cNvSpPr txBox="1"/>
      </xdr:nvSpPr>
      <xdr:spPr>
        <a:xfrm>
          <a:off x="3032356" y="1574862"/>
          <a:ext cx="2743200" cy="353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41ABAE-F21F-415C-9006-D7179B920B05}" type="TxLink">
            <a:rPr lang="en-US" sz="2400" b="0" i="0" u="none" strike="noStrike">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GB" sz="2400">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26713</xdr:colOff>
      <xdr:row>6</xdr:row>
      <xdr:rowOff>64508</xdr:rowOff>
    </xdr:from>
    <xdr:to>
      <xdr:col>12</xdr:col>
      <xdr:colOff>230957</xdr:colOff>
      <xdr:row>7</xdr:row>
      <xdr:rowOff>143444</xdr:rowOff>
    </xdr:to>
    <xdr:sp macro="" textlink="">
      <xdr:nvSpPr>
        <xdr:cNvPr id="78" name="TextBox 77">
          <a:extLst>
            <a:ext uri="{FF2B5EF4-FFF2-40B4-BE49-F238E27FC236}">
              <a16:creationId xmlns:a16="http://schemas.microsoft.com/office/drawing/2014/main" id="{51042854-4E08-40A5-B467-2EA0C02C5398}"/>
            </a:ext>
          </a:extLst>
        </xdr:cNvPr>
        <xdr:cNvSpPr txBox="1"/>
      </xdr:nvSpPr>
      <xdr:spPr>
        <a:xfrm>
          <a:off x="5950798" y="1226093"/>
          <a:ext cx="2178939" cy="2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Active</a:t>
          </a:r>
          <a:r>
            <a:rPr lang="en-GB" sz="1700" baseline="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 Employees</a:t>
          </a:r>
          <a:endPar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25035</xdr:colOff>
      <xdr:row>8</xdr:row>
      <xdr:rowOff>32719</xdr:rowOff>
    </xdr:from>
    <xdr:to>
      <xdr:col>13</xdr:col>
      <xdr:colOff>137521</xdr:colOff>
      <xdr:row>10</xdr:row>
      <xdr:rowOff>3192</xdr:rowOff>
    </xdr:to>
    <xdr:sp macro="" textlink="KPI!D8">
      <xdr:nvSpPr>
        <xdr:cNvPr id="79" name="TextBox 78">
          <a:extLst>
            <a:ext uri="{FF2B5EF4-FFF2-40B4-BE49-F238E27FC236}">
              <a16:creationId xmlns:a16="http://schemas.microsoft.com/office/drawing/2014/main" id="{67A9511C-E69C-4778-A807-9543992BF848}"/>
            </a:ext>
          </a:extLst>
        </xdr:cNvPr>
        <xdr:cNvSpPr txBox="1"/>
      </xdr:nvSpPr>
      <xdr:spPr>
        <a:xfrm>
          <a:off x="5944142" y="1574862"/>
          <a:ext cx="2743200" cy="356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CCC88E-D5B9-4485-8C32-CAA005543898}" type="TxLink">
            <a:rPr lang="en-US" sz="2400" b="0" i="0" u="none" strike="noStrike">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GB" sz="2400">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13</xdr:col>
      <xdr:colOff>304994</xdr:colOff>
      <xdr:row>6</xdr:row>
      <xdr:rowOff>64508</xdr:rowOff>
    </xdr:from>
    <xdr:to>
      <xdr:col>16</xdr:col>
      <xdr:colOff>513144</xdr:colOff>
      <xdr:row>7</xdr:row>
      <xdr:rowOff>143444</xdr:rowOff>
    </xdr:to>
    <xdr:sp macro="" textlink="">
      <xdr:nvSpPr>
        <xdr:cNvPr id="80" name="TextBox 79">
          <a:extLst>
            <a:ext uri="{FF2B5EF4-FFF2-40B4-BE49-F238E27FC236}">
              <a16:creationId xmlns:a16="http://schemas.microsoft.com/office/drawing/2014/main" id="{1F92D401-D24D-4AA8-9F85-0F703266082A}"/>
            </a:ext>
          </a:extLst>
        </xdr:cNvPr>
        <xdr:cNvSpPr txBox="1"/>
      </xdr:nvSpPr>
      <xdr:spPr>
        <a:xfrm>
          <a:off x="8862006" y="1226093"/>
          <a:ext cx="2182845" cy="2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Attrition Rate</a:t>
          </a:r>
        </a:p>
      </xdr:txBody>
    </xdr:sp>
    <xdr:clientData/>
  </xdr:twoCellAnchor>
  <xdr:twoCellAnchor>
    <xdr:from>
      <xdr:col>13</xdr:col>
      <xdr:colOff>306107</xdr:colOff>
      <xdr:row>8</xdr:row>
      <xdr:rowOff>32719</xdr:rowOff>
    </xdr:from>
    <xdr:to>
      <xdr:col>17</xdr:col>
      <xdr:colOff>418592</xdr:colOff>
      <xdr:row>10</xdr:row>
      <xdr:rowOff>3192</xdr:rowOff>
    </xdr:to>
    <xdr:sp macro="" textlink="KPI!E8">
      <xdr:nvSpPr>
        <xdr:cNvPr id="81" name="TextBox 80">
          <a:extLst>
            <a:ext uri="{FF2B5EF4-FFF2-40B4-BE49-F238E27FC236}">
              <a16:creationId xmlns:a16="http://schemas.microsoft.com/office/drawing/2014/main" id="{7A5C5FD8-822C-4F44-A359-2050D8037684}"/>
            </a:ext>
          </a:extLst>
        </xdr:cNvPr>
        <xdr:cNvSpPr txBox="1"/>
      </xdr:nvSpPr>
      <xdr:spPr>
        <a:xfrm>
          <a:off x="8855928" y="1574862"/>
          <a:ext cx="2743200" cy="356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790F9A-F870-486F-ADDB-C9FF81AB0F64}" type="TxLink">
            <a:rPr lang="en-US" sz="2400" b="0" i="0" u="none" strike="noStrike">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GB" sz="2400">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587179</xdr:colOff>
      <xdr:row>6</xdr:row>
      <xdr:rowOff>64508</xdr:rowOff>
    </xdr:from>
    <xdr:to>
      <xdr:col>21</xdr:col>
      <xdr:colOff>133192</xdr:colOff>
      <xdr:row>7</xdr:row>
      <xdr:rowOff>143444</xdr:rowOff>
    </xdr:to>
    <xdr:sp macro="" textlink="">
      <xdr:nvSpPr>
        <xdr:cNvPr id="82" name="TextBox 81">
          <a:extLst>
            <a:ext uri="{FF2B5EF4-FFF2-40B4-BE49-F238E27FC236}">
              <a16:creationId xmlns:a16="http://schemas.microsoft.com/office/drawing/2014/main" id="{7A222F11-7441-4C5D-A612-1A48EF76E8FA}"/>
            </a:ext>
          </a:extLst>
        </xdr:cNvPr>
        <xdr:cNvSpPr txBox="1"/>
      </xdr:nvSpPr>
      <xdr:spPr>
        <a:xfrm>
          <a:off x="11777118" y="1226093"/>
          <a:ext cx="2178940" cy="2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Average Age</a:t>
          </a:r>
        </a:p>
      </xdr:txBody>
    </xdr:sp>
    <xdr:clientData/>
  </xdr:twoCellAnchor>
  <xdr:twoCellAnchor>
    <xdr:from>
      <xdr:col>17</xdr:col>
      <xdr:colOff>587179</xdr:colOff>
      <xdr:row>8</xdr:row>
      <xdr:rowOff>32719</xdr:rowOff>
    </xdr:from>
    <xdr:to>
      <xdr:col>22</xdr:col>
      <xdr:colOff>41986</xdr:colOff>
      <xdr:row>10</xdr:row>
      <xdr:rowOff>3192</xdr:rowOff>
    </xdr:to>
    <xdr:sp macro="" textlink="KPI!C8">
      <xdr:nvSpPr>
        <xdr:cNvPr id="83" name="TextBox 82">
          <a:extLst>
            <a:ext uri="{FF2B5EF4-FFF2-40B4-BE49-F238E27FC236}">
              <a16:creationId xmlns:a16="http://schemas.microsoft.com/office/drawing/2014/main" id="{3A2B10E4-6EBF-4A8C-A019-E2BBE4905030}"/>
            </a:ext>
          </a:extLst>
        </xdr:cNvPr>
        <xdr:cNvSpPr txBox="1"/>
      </xdr:nvSpPr>
      <xdr:spPr>
        <a:xfrm>
          <a:off x="11843504" y="1595796"/>
          <a:ext cx="2765491" cy="361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F3DDDC-E05C-4231-82CD-1F735974E69B}" type="TxLink">
            <a:rPr lang="en-US" sz="2400" b="0" i="0" u="none" strike="noStrike">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GB" sz="2400">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21</xdr:col>
      <xdr:colOff>216251</xdr:colOff>
      <xdr:row>5</xdr:row>
      <xdr:rowOff>189149</xdr:rowOff>
    </xdr:from>
    <xdr:to>
      <xdr:col>22</xdr:col>
      <xdr:colOff>4921</xdr:colOff>
      <xdr:row>8</xdr:row>
      <xdr:rowOff>58048</xdr:rowOff>
    </xdr:to>
    <xdr:pic>
      <xdr:nvPicPr>
        <xdr:cNvPr id="84" name="Picture 83">
          <a:extLst>
            <a:ext uri="{FF2B5EF4-FFF2-40B4-BE49-F238E27FC236}">
              <a16:creationId xmlns:a16="http://schemas.microsoft.com/office/drawing/2014/main" id="{E60EE43F-5434-4C95-9B89-22B435EB788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121123" y="1166072"/>
          <a:ext cx="450807" cy="455053"/>
        </a:xfrm>
        <a:prstGeom prst="rect">
          <a:avLst/>
        </a:prstGeom>
      </xdr:spPr>
    </xdr:pic>
    <xdr:clientData/>
  </xdr:twoCellAnchor>
  <xdr:twoCellAnchor editAs="oneCell">
    <xdr:from>
      <xdr:col>16</xdr:col>
      <xdr:colOff>587887</xdr:colOff>
      <xdr:row>5</xdr:row>
      <xdr:rowOff>189149</xdr:rowOff>
    </xdr:from>
    <xdr:to>
      <xdr:col>17</xdr:col>
      <xdr:colOff>387806</xdr:colOff>
      <xdr:row>8</xdr:row>
      <xdr:rowOff>61605</xdr:rowOff>
    </xdr:to>
    <xdr:pic>
      <xdr:nvPicPr>
        <xdr:cNvPr id="85" name="Picture 84">
          <a:extLst>
            <a:ext uri="{FF2B5EF4-FFF2-40B4-BE49-F238E27FC236}">
              <a16:creationId xmlns:a16="http://schemas.microsoft.com/office/drawing/2014/main" id="{6375CBA1-AB34-408B-8381-C74EE8FB9C3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11182075" y="1166072"/>
          <a:ext cx="462056" cy="458610"/>
        </a:xfrm>
        <a:prstGeom prst="rect">
          <a:avLst/>
        </a:prstGeom>
      </xdr:spPr>
    </xdr:pic>
    <xdr:clientData/>
  </xdr:twoCellAnchor>
  <xdr:twoCellAnchor editAs="oneCell">
    <xdr:from>
      <xdr:col>12</xdr:col>
      <xdr:colOff>311961</xdr:colOff>
      <xdr:row>5</xdr:row>
      <xdr:rowOff>189149</xdr:rowOff>
    </xdr:from>
    <xdr:to>
      <xdr:col>13</xdr:col>
      <xdr:colOff>97305</xdr:colOff>
      <xdr:row>8</xdr:row>
      <xdr:rowOff>61100</xdr:rowOff>
    </xdr:to>
    <xdr:pic>
      <xdr:nvPicPr>
        <xdr:cNvPr id="86" name="Picture 85">
          <a:extLst>
            <a:ext uri="{FF2B5EF4-FFF2-40B4-BE49-F238E27FC236}">
              <a16:creationId xmlns:a16="http://schemas.microsoft.com/office/drawing/2014/main" id="{D6469B9F-2E29-44E5-8473-1D074CDC166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257602" y="1166072"/>
          <a:ext cx="447481" cy="458105"/>
        </a:xfrm>
        <a:prstGeom prst="rect">
          <a:avLst/>
        </a:prstGeom>
      </xdr:spPr>
    </xdr:pic>
    <xdr:clientData/>
  </xdr:twoCellAnchor>
  <xdr:twoCellAnchor editAs="oneCell">
    <xdr:from>
      <xdr:col>8</xdr:col>
      <xdr:colOff>21460</xdr:colOff>
      <xdr:row>5</xdr:row>
      <xdr:rowOff>189149</xdr:rowOff>
    </xdr:from>
    <xdr:to>
      <xdr:col>8</xdr:col>
      <xdr:colOff>483516</xdr:colOff>
      <xdr:row>8</xdr:row>
      <xdr:rowOff>50575</xdr:rowOff>
    </xdr:to>
    <xdr:pic>
      <xdr:nvPicPr>
        <xdr:cNvPr id="87" name="Picture 86">
          <a:extLst>
            <a:ext uri="{FF2B5EF4-FFF2-40B4-BE49-F238E27FC236}">
              <a16:creationId xmlns:a16="http://schemas.microsoft.com/office/drawing/2014/main" id="{27C5CCF0-3135-4628-B4FD-1E8EA8ACC41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18554" y="1166072"/>
          <a:ext cx="462056" cy="447580"/>
        </a:xfrm>
        <a:prstGeom prst="rect">
          <a:avLst/>
        </a:prstGeom>
      </xdr:spPr>
    </xdr:pic>
    <xdr:clientData/>
  </xdr:twoCellAnchor>
  <xdr:twoCellAnchor editAs="oneCell">
    <xdr:from>
      <xdr:col>3</xdr:col>
      <xdr:colOff>402816</xdr:colOff>
      <xdr:row>5</xdr:row>
      <xdr:rowOff>189149</xdr:rowOff>
    </xdr:from>
    <xdr:to>
      <xdr:col>4</xdr:col>
      <xdr:colOff>193015</xdr:colOff>
      <xdr:row>8</xdr:row>
      <xdr:rowOff>63717</xdr:rowOff>
    </xdr:to>
    <xdr:pic>
      <xdr:nvPicPr>
        <xdr:cNvPr id="88" name="Picture 87">
          <a:extLst>
            <a:ext uri="{FF2B5EF4-FFF2-40B4-BE49-F238E27FC236}">
              <a16:creationId xmlns:a16="http://schemas.microsoft.com/office/drawing/2014/main" id="{23278D97-C7CA-469F-AAAF-42620C1B25A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389226" y="1166072"/>
          <a:ext cx="452336" cy="460722"/>
        </a:xfrm>
        <a:prstGeom prst="rect">
          <a:avLst/>
        </a:prstGeom>
      </xdr:spPr>
    </xdr:pic>
    <xdr:clientData/>
  </xdr:twoCellAnchor>
  <xdr:twoCellAnchor>
    <xdr:from>
      <xdr:col>0</xdr:col>
      <xdr:colOff>173802</xdr:colOff>
      <xdr:row>17</xdr:row>
      <xdr:rowOff>86045</xdr:rowOff>
    </xdr:from>
    <xdr:to>
      <xdr:col>2</xdr:col>
      <xdr:colOff>217980</xdr:colOff>
      <xdr:row>24</xdr:row>
      <xdr:rowOff>91353</xdr:rowOff>
    </xdr:to>
    <xdr:graphicFrame macro="">
      <xdr:nvGraphicFramePr>
        <xdr:cNvPr id="89" name="Chart 88">
          <a:extLst>
            <a:ext uri="{FF2B5EF4-FFF2-40B4-BE49-F238E27FC236}">
              <a16:creationId xmlns:a16="http://schemas.microsoft.com/office/drawing/2014/main" id="{093C1201-4656-4590-B78A-53E1A44C4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320528</xdr:colOff>
      <xdr:row>17</xdr:row>
      <xdr:rowOff>86045</xdr:rowOff>
    </xdr:from>
    <xdr:to>
      <xdr:col>6</xdr:col>
      <xdr:colOff>364707</xdr:colOff>
      <xdr:row>24</xdr:row>
      <xdr:rowOff>91353</xdr:rowOff>
    </xdr:to>
    <xdr:graphicFrame macro="">
      <xdr:nvGraphicFramePr>
        <xdr:cNvPr id="90" name="Chart 89">
          <a:extLst>
            <a:ext uri="{FF2B5EF4-FFF2-40B4-BE49-F238E27FC236}">
              <a16:creationId xmlns:a16="http://schemas.microsoft.com/office/drawing/2014/main" id="{B11AF4A1-7D8F-46FA-B79C-E17ADEAD0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209471</xdr:colOff>
      <xdr:row>18</xdr:row>
      <xdr:rowOff>126292</xdr:rowOff>
    </xdr:from>
    <xdr:to>
      <xdr:col>4</xdr:col>
      <xdr:colOff>441609</xdr:colOff>
      <xdr:row>23</xdr:row>
      <xdr:rowOff>51107</xdr:rowOff>
    </xdr:to>
    <xdr:pic>
      <xdr:nvPicPr>
        <xdr:cNvPr id="91" name="Graphic 90" descr="Male profile with solid fill">
          <a:extLst>
            <a:ext uri="{FF2B5EF4-FFF2-40B4-BE49-F238E27FC236}">
              <a16:creationId xmlns:a16="http://schemas.microsoft.com/office/drawing/2014/main" id="{DFAAC531-45CA-409B-B0A4-2C9F91F3272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183326" y="3706774"/>
          <a:ext cx="890090" cy="919393"/>
        </a:xfrm>
        <a:prstGeom prst="rect">
          <a:avLst/>
        </a:prstGeom>
      </xdr:spPr>
    </xdr:pic>
    <xdr:clientData/>
  </xdr:twoCellAnchor>
  <xdr:twoCellAnchor editAs="oneCell">
    <xdr:from>
      <xdr:col>2</xdr:col>
      <xdr:colOff>96228</xdr:colOff>
      <xdr:row>18</xdr:row>
      <xdr:rowOff>126292</xdr:rowOff>
    </xdr:from>
    <xdr:to>
      <xdr:col>3</xdr:col>
      <xdr:colOff>330551</xdr:colOff>
      <xdr:row>23</xdr:row>
      <xdr:rowOff>51107</xdr:rowOff>
    </xdr:to>
    <xdr:pic>
      <xdr:nvPicPr>
        <xdr:cNvPr id="92" name="Graphic 91" descr="Female Profile with solid fill">
          <a:extLst>
            <a:ext uri="{FF2B5EF4-FFF2-40B4-BE49-F238E27FC236}">
              <a16:creationId xmlns:a16="http://schemas.microsoft.com/office/drawing/2014/main" id="{D951BE7C-2EC4-4313-841D-8C83ADEBD46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12132" y="3706774"/>
          <a:ext cx="892274" cy="919393"/>
        </a:xfrm>
        <a:prstGeom prst="rect">
          <a:avLst/>
        </a:prstGeom>
      </xdr:spPr>
    </xdr:pic>
    <xdr:clientData/>
  </xdr:twoCellAnchor>
  <xdr:twoCellAnchor>
    <xdr:from>
      <xdr:col>0</xdr:col>
      <xdr:colOff>546952</xdr:colOff>
      <xdr:row>19</xdr:row>
      <xdr:rowOff>139323</xdr:rowOff>
    </xdr:from>
    <xdr:to>
      <xdr:col>1</xdr:col>
      <xdr:colOff>546210</xdr:colOff>
      <xdr:row>22</xdr:row>
      <xdr:rowOff>38075</xdr:rowOff>
    </xdr:to>
    <xdr:sp macro="" textlink="Gender!$B$9">
      <xdr:nvSpPr>
        <xdr:cNvPr id="93" name="TextBox 92">
          <a:extLst>
            <a:ext uri="{FF2B5EF4-FFF2-40B4-BE49-F238E27FC236}">
              <a16:creationId xmlns:a16="http://schemas.microsoft.com/office/drawing/2014/main" id="{599CA356-22A4-4BCE-AA79-AF3CE852C369}"/>
            </a:ext>
          </a:extLst>
        </xdr:cNvPr>
        <xdr:cNvSpPr txBox="1"/>
      </xdr:nvSpPr>
      <xdr:spPr>
        <a:xfrm>
          <a:off x="546952" y="3918721"/>
          <a:ext cx="657210" cy="495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16FCAB-19BC-4243-9A61-4F201AD6C0F6}" type="TxLink">
            <a:rPr lang="en-US" sz="1800" b="0" i="0" u="none" strike="noStrike">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588</a:t>
          </a:fld>
          <a:endParaRPr lang="en-GB" sz="2000">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8488</xdr:colOff>
      <xdr:row>19</xdr:row>
      <xdr:rowOff>139323</xdr:rowOff>
    </xdr:from>
    <xdr:to>
      <xdr:col>6</xdr:col>
      <xdr:colOff>7748</xdr:colOff>
      <xdr:row>22</xdr:row>
      <xdr:rowOff>38075</xdr:rowOff>
    </xdr:to>
    <xdr:sp macro="" textlink="Gender!$B$10">
      <xdr:nvSpPr>
        <xdr:cNvPr id="94" name="TextBox 93">
          <a:extLst>
            <a:ext uri="{FF2B5EF4-FFF2-40B4-BE49-F238E27FC236}">
              <a16:creationId xmlns:a16="http://schemas.microsoft.com/office/drawing/2014/main" id="{AD1E1876-E021-4CE5-B2EA-2EA6B6445A66}"/>
            </a:ext>
          </a:extLst>
        </xdr:cNvPr>
        <xdr:cNvSpPr txBox="1"/>
      </xdr:nvSpPr>
      <xdr:spPr>
        <a:xfrm>
          <a:off x="3298247" y="3918721"/>
          <a:ext cx="657212" cy="495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8B7702-5EB0-4D26-9ED5-4F7DB4457809}" type="TxLink">
            <a:rPr lang="en-US" sz="1800" b="0" i="0" u="none" strike="noStrike">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882</a:t>
          </a:fld>
          <a:endParaRPr lang="en-GB" sz="2000">
            <a:solidFill>
              <a:schemeClr val="accent3">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232737</xdr:colOff>
      <xdr:row>11</xdr:row>
      <xdr:rowOff>115336</xdr:rowOff>
    </xdr:from>
    <xdr:to>
      <xdr:col>5</xdr:col>
      <xdr:colOff>585745</xdr:colOff>
      <xdr:row>13</xdr:row>
      <xdr:rowOff>93901</xdr:rowOff>
    </xdr:to>
    <xdr:sp macro="" textlink="">
      <xdr:nvSpPr>
        <xdr:cNvPr id="95" name="TextBox 94">
          <a:extLst>
            <a:ext uri="{FF2B5EF4-FFF2-40B4-BE49-F238E27FC236}">
              <a16:creationId xmlns:a16="http://schemas.microsoft.com/office/drawing/2014/main" id="{DAD873F4-E9E6-4E1E-911B-EB794B30EF7A}"/>
            </a:ext>
          </a:extLst>
        </xdr:cNvPr>
        <xdr:cNvSpPr txBox="1"/>
      </xdr:nvSpPr>
      <xdr:spPr>
        <a:xfrm>
          <a:off x="232737" y="2269301"/>
          <a:ext cx="3653889" cy="37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Total Employees by Gender</a:t>
          </a:r>
        </a:p>
      </xdr:txBody>
    </xdr:sp>
    <xdr:clientData/>
  </xdr:twoCellAnchor>
  <xdr:twoCellAnchor editAs="oneCell">
    <xdr:from>
      <xdr:col>2</xdr:col>
      <xdr:colOff>21427</xdr:colOff>
      <xdr:row>14</xdr:row>
      <xdr:rowOff>59432</xdr:rowOff>
    </xdr:from>
    <xdr:to>
      <xdr:col>4</xdr:col>
      <xdr:colOff>527931</xdr:colOff>
      <xdr:row>18</xdr:row>
      <xdr:rowOff>25306</xdr:rowOff>
    </xdr:to>
    <mc:AlternateContent xmlns:mc="http://schemas.openxmlformats.org/markup-compatibility/2006" xmlns:a14="http://schemas.microsoft.com/office/drawing/2010/main">
      <mc:Choice Requires="a14">
        <xdr:graphicFrame macro="">
          <xdr:nvGraphicFramePr>
            <xdr:cNvPr id="96" name="Gender 4">
              <a:extLst>
                <a:ext uri="{FF2B5EF4-FFF2-40B4-BE49-F238E27FC236}">
                  <a16:creationId xmlns:a16="http://schemas.microsoft.com/office/drawing/2014/main" id="{A55599EC-4DF4-46AA-A516-400165CB77F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341559" y="2866800"/>
              <a:ext cx="1826635" cy="7679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639303</xdr:colOff>
      <xdr:row>13</xdr:row>
      <xdr:rowOff>153012</xdr:rowOff>
    </xdr:from>
    <xdr:to>
      <xdr:col>14</xdr:col>
      <xdr:colOff>198561</xdr:colOff>
      <xdr:row>24</xdr:row>
      <xdr:rowOff>114759</xdr:rowOff>
    </xdr:to>
    <xdr:graphicFrame macro="">
      <xdr:nvGraphicFramePr>
        <xdr:cNvPr id="97" name="Chart 96">
          <a:extLst>
            <a:ext uri="{FF2B5EF4-FFF2-40B4-BE49-F238E27FC236}">
              <a16:creationId xmlns:a16="http://schemas.microsoft.com/office/drawing/2014/main" id="{07FBF541-AFBE-4B1C-B770-468181F87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61508</xdr:colOff>
      <xdr:row>11</xdr:row>
      <xdr:rowOff>115336</xdr:rowOff>
    </xdr:from>
    <xdr:to>
      <xdr:col>12</xdr:col>
      <xdr:colOff>412560</xdr:colOff>
      <xdr:row>13</xdr:row>
      <xdr:rowOff>93901</xdr:rowOff>
    </xdr:to>
    <xdr:sp macro="" textlink="">
      <xdr:nvSpPr>
        <xdr:cNvPr id="98" name="TextBox 97">
          <a:extLst>
            <a:ext uri="{FF2B5EF4-FFF2-40B4-BE49-F238E27FC236}">
              <a16:creationId xmlns:a16="http://schemas.microsoft.com/office/drawing/2014/main" id="{D67DE7B4-5973-47AC-AC0A-22AFCDC5FD69}"/>
            </a:ext>
          </a:extLst>
        </xdr:cNvPr>
        <xdr:cNvSpPr txBox="1"/>
      </xdr:nvSpPr>
      <xdr:spPr>
        <a:xfrm>
          <a:off x="4674244" y="2289911"/>
          <a:ext cx="3645863" cy="373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Education wise</a:t>
          </a:r>
          <a:r>
            <a:rPr lang="en-GB" sz="1700" baseline="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 Attrition</a:t>
          </a:r>
          <a:endPar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285145</xdr:colOff>
      <xdr:row>27</xdr:row>
      <xdr:rowOff>168249</xdr:rowOff>
    </xdr:from>
    <xdr:to>
      <xdr:col>6</xdr:col>
      <xdr:colOff>264212</xdr:colOff>
      <xdr:row>38</xdr:row>
      <xdr:rowOff>176855</xdr:rowOff>
    </xdr:to>
    <xdr:graphicFrame macro="">
      <xdr:nvGraphicFramePr>
        <xdr:cNvPr id="99" name="Chart 98">
          <a:extLst>
            <a:ext uri="{FF2B5EF4-FFF2-40B4-BE49-F238E27FC236}">
              <a16:creationId xmlns:a16="http://schemas.microsoft.com/office/drawing/2014/main" id="{48B22015-979B-45D1-9BF2-7AC6CD3A8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232737</xdr:colOff>
      <xdr:row>26</xdr:row>
      <xdr:rowOff>34266</xdr:rowOff>
    </xdr:from>
    <xdr:to>
      <xdr:col>6</xdr:col>
      <xdr:colOff>195755</xdr:colOff>
      <xdr:row>27</xdr:row>
      <xdr:rowOff>150062</xdr:rowOff>
    </xdr:to>
    <xdr:sp macro="" textlink="">
      <xdr:nvSpPr>
        <xdr:cNvPr id="100" name="TextBox 99">
          <a:extLst>
            <a:ext uri="{FF2B5EF4-FFF2-40B4-BE49-F238E27FC236}">
              <a16:creationId xmlns:a16="http://schemas.microsoft.com/office/drawing/2014/main" id="{4B601A88-22D0-4A0B-BDA9-12CE75B37597}"/>
            </a:ext>
          </a:extLst>
        </xdr:cNvPr>
        <xdr:cNvSpPr txBox="1"/>
      </xdr:nvSpPr>
      <xdr:spPr>
        <a:xfrm>
          <a:off x="232737" y="5158059"/>
          <a:ext cx="3920820" cy="312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Department</a:t>
          </a:r>
          <a:r>
            <a:rPr lang="en-GB" sz="1700" baseline="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75410</xdr:colOff>
      <xdr:row>27</xdr:row>
      <xdr:rowOff>177663</xdr:rowOff>
    </xdr:from>
    <xdr:to>
      <xdr:col>12</xdr:col>
      <xdr:colOff>399523</xdr:colOff>
      <xdr:row>38</xdr:row>
      <xdr:rowOff>176855</xdr:rowOff>
    </xdr:to>
    <xdr:graphicFrame macro="">
      <xdr:nvGraphicFramePr>
        <xdr:cNvPr id="101" name="Chart 100">
          <a:extLst>
            <a:ext uri="{FF2B5EF4-FFF2-40B4-BE49-F238E27FC236}">
              <a16:creationId xmlns:a16="http://schemas.microsoft.com/office/drawing/2014/main" id="{C52FF6B6-8783-45C2-958A-AD64973F9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526409</xdr:colOff>
      <xdr:row>11</xdr:row>
      <xdr:rowOff>115336</xdr:rowOff>
    </xdr:from>
    <xdr:to>
      <xdr:col>20</xdr:col>
      <xdr:colOff>218499</xdr:colOff>
      <xdr:row>13</xdr:row>
      <xdr:rowOff>93901</xdr:rowOff>
    </xdr:to>
    <xdr:sp macro="" textlink="">
      <xdr:nvSpPr>
        <xdr:cNvPr id="102" name="TextBox 101">
          <a:extLst>
            <a:ext uri="{FF2B5EF4-FFF2-40B4-BE49-F238E27FC236}">
              <a16:creationId xmlns:a16="http://schemas.microsoft.com/office/drawing/2014/main" id="{5B820F1A-B656-4286-9503-C6974DBD1DF0}"/>
            </a:ext>
          </a:extLst>
        </xdr:cNvPr>
        <xdr:cNvSpPr txBox="1"/>
      </xdr:nvSpPr>
      <xdr:spPr>
        <a:xfrm>
          <a:off x="9766409" y="2260336"/>
          <a:ext cx="3652090" cy="368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Attrition</a:t>
          </a:r>
          <a:r>
            <a:rPr lang="en-GB" sz="1700" baseline="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 by Job Role</a:t>
          </a:r>
          <a:endPar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19851</xdr:colOff>
      <xdr:row>26</xdr:row>
      <xdr:rowOff>34266</xdr:rowOff>
    </xdr:from>
    <xdr:to>
      <xdr:col>12</xdr:col>
      <xdr:colOff>422599</xdr:colOff>
      <xdr:row>27</xdr:row>
      <xdr:rowOff>150062</xdr:rowOff>
    </xdr:to>
    <xdr:sp macro="" textlink="">
      <xdr:nvSpPr>
        <xdr:cNvPr id="103" name="TextBox 102">
          <a:extLst>
            <a:ext uri="{FF2B5EF4-FFF2-40B4-BE49-F238E27FC236}">
              <a16:creationId xmlns:a16="http://schemas.microsoft.com/office/drawing/2014/main" id="{A02821C0-51E0-40E7-A2D1-152EBDB8375C}"/>
            </a:ext>
          </a:extLst>
        </xdr:cNvPr>
        <xdr:cNvSpPr txBox="1"/>
      </xdr:nvSpPr>
      <xdr:spPr>
        <a:xfrm>
          <a:off x="4640891" y="5101692"/>
          <a:ext cx="3703490" cy="310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Attrition by Age Group</a:t>
          </a:r>
        </a:p>
      </xdr:txBody>
    </xdr:sp>
    <xdr:clientData/>
  </xdr:twoCellAnchor>
  <xdr:twoCellAnchor>
    <xdr:from>
      <xdr:col>13</xdr:col>
      <xdr:colOff>68918</xdr:colOff>
      <xdr:row>27</xdr:row>
      <xdr:rowOff>187663</xdr:rowOff>
    </xdr:from>
    <xdr:to>
      <xdr:col>17</xdr:col>
      <xdr:colOff>284399</xdr:colOff>
      <xdr:row>38</xdr:row>
      <xdr:rowOff>171428</xdr:rowOff>
    </xdr:to>
    <mc:AlternateContent xmlns:mc="http://schemas.openxmlformats.org/markup-compatibility/2006">
      <mc:Choice xmlns:cx2="http://schemas.microsoft.com/office/drawing/2015/10/21/chartex" Requires="cx2">
        <xdr:graphicFrame macro="">
          <xdr:nvGraphicFramePr>
            <xdr:cNvPr id="104" name="Chart 103">
              <a:extLst>
                <a:ext uri="{FF2B5EF4-FFF2-40B4-BE49-F238E27FC236}">
                  <a16:creationId xmlns:a16="http://schemas.microsoft.com/office/drawing/2014/main" id="{0BF5EB92-12C0-452A-8A8B-ED50255399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8654118" y="5502613"/>
              <a:ext cx="2857081" cy="214911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126985</xdr:colOff>
      <xdr:row>26</xdr:row>
      <xdr:rowOff>29365</xdr:rowOff>
    </xdr:from>
    <xdr:to>
      <xdr:col>17</xdr:col>
      <xdr:colOff>223559</xdr:colOff>
      <xdr:row>27</xdr:row>
      <xdr:rowOff>150062</xdr:rowOff>
    </xdr:to>
    <xdr:sp macro="" textlink="">
      <xdr:nvSpPr>
        <xdr:cNvPr id="105" name="TextBox 104">
          <a:extLst>
            <a:ext uri="{FF2B5EF4-FFF2-40B4-BE49-F238E27FC236}">
              <a16:creationId xmlns:a16="http://schemas.microsoft.com/office/drawing/2014/main" id="{03D911BE-5284-4C94-AD31-A8E80A0A6CD7}"/>
            </a:ext>
          </a:extLst>
        </xdr:cNvPr>
        <xdr:cNvSpPr txBox="1"/>
      </xdr:nvSpPr>
      <xdr:spPr>
        <a:xfrm>
          <a:off x="8702568" y="5158685"/>
          <a:ext cx="2735214" cy="317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Attrition</a:t>
          </a:r>
          <a:r>
            <a:rPr lang="en-GB" sz="1700" baseline="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 by </a:t>
          </a:r>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Marital</a:t>
          </a:r>
          <a:r>
            <a:rPr lang="en-GB" sz="1700" baseline="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 Status</a:t>
          </a:r>
          <a:endPar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20</xdr:col>
      <xdr:colOff>294610</xdr:colOff>
      <xdr:row>29</xdr:row>
      <xdr:rowOff>12606</xdr:rowOff>
    </xdr:from>
    <xdr:to>
      <xdr:col>21</xdr:col>
      <xdr:colOff>615748</xdr:colOff>
      <xdr:row>35</xdr:row>
      <xdr:rowOff>116941</xdr:rowOff>
    </xdr:to>
    <mc:AlternateContent xmlns:mc="http://schemas.openxmlformats.org/markup-compatibility/2006" xmlns:a14="http://schemas.microsoft.com/office/drawing/2010/main">
      <mc:Choice Requires="a14">
        <xdr:graphicFrame macro="">
          <xdr:nvGraphicFramePr>
            <xdr:cNvPr id="106" name="Department 2">
              <a:extLst>
                <a:ext uri="{FF2B5EF4-FFF2-40B4-BE49-F238E27FC236}">
                  <a16:creationId xmlns:a16="http://schemas.microsoft.com/office/drawing/2014/main" id="{21BBD565-36BD-45DB-BACA-53A082DCC7CB}"/>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3495926" y="5827869"/>
              <a:ext cx="981204" cy="13074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516448</xdr:colOff>
      <xdr:row>29</xdr:row>
      <xdr:rowOff>12606</xdr:rowOff>
    </xdr:from>
    <xdr:to>
      <xdr:col>20</xdr:col>
      <xdr:colOff>211667</xdr:colOff>
      <xdr:row>38</xdr:row>
      <xdr:rowOff>134783</xdr:rowOff>
    </xdr:to>
    <mc:AlternateContent xmlns:mc="http://schemas.openxmlformats.org/markup-compatibility/2006" xmlns:a14="http://schemas.microsoft.com/office/drawing/2010/main">
      <mc:Choice Requires="a14">
        <xdr:graphicFrame macro="">
          <xdr:nvGraphicFramePr>
            <xdr:cNvPr id="107" name="Education Field 4">
              <a:extLst>
                <a:ext uri="{FF2B5EF4-FFF2-40B4-BE49-F238E27FC236}">
                  <a16:creationId xmlns:a16="http://schemas.microsoft.com/office/drawing/2014/main" id="{A0EA2D53-D244-4EA7-908A-A5A080802A67}"/>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11737566" y="5827869"/>
              <a:ext cx="1675417" cy="19269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516448</xdr:colOff>
      <xdr:row>27</xdr:row>
      <xdr:rowOff>189956</xdr:rowOff>
    </xdr:from>
    <xdr:to>
      <xdr:col>20</xdr:col>
      <xdr:colOff>233640</xdr:colOff>
      <xdr:row>29</xdr:row>
      <xdr:rowOff>6682</xdr:rowOff>
    </xdr:to>
    <xdr:sp macro="" textlink="">
      <xdr:nvSpPr>
        <xdr:cNvPr id="108" name="TextBox 107">
          <a:extLst>
            <a:ext uri="{FF2B5EF4-FFF2-40B4-BE49-F238E27FC236}">
              <a16:creationId xmlns:a16="http://schemas.microsoft.com/office/drawing/2014/main" id="{D876FB34-B08A-42E9-A17B-BF2B3BF48193}"/>
            </a:ext>
          </a:extLst>
        </xdr:cNvPr>
        <xdr:cNvSpPr txBox="1"/>
      </xdr:nvSpPr>
      <xdr:spPr>
        <a:xfrm>
          <a:off x="11772773" y="5465341"/>
          <a:ext cx="1703602" cy="207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tx2">
                  <a:lumMod val="75000"/>
                </a:schemeClr>
              </a:solidFill>
              <a:latin typeface="Lato Black" panose="020F0502020204030203" pitchFamily="34" charset="0"/>
              <a:ea typeface="Lato Black" panose="020F0502020204030203" pitchFamily="34" charset="0"/>
              <a:cs typeface="Lato Black" panose="020F0502020204030203" pitchFamily="34" charset="0"/>
            </a:rPr>
            <a:t>Education Field</a:t>
          </a:r>
        </a:p>
      </xdr:txBody>
    </xdr:sp>
    <xdr:clientData/>
  </xdr:twoCellAnchor>
  <xdr:twoCellAnchor>
    <xdr:from>
      <xdr:col>20</xdr:col>
      <xdr:colOff>294610</xdr:colOff>
      <xdr:row>27</xdr:row>
      <xdr:rowOff>187139</xdr:rowOff>
    </xdr:from>
    <xdr:to>
      <xdr:col>22</xdr:col>
      <xdr:colOff>67616</xdr:colOff>
      <xdr:row>29</xdr:row>
      <xdr:rowOff>6682</xdr:rowOff>
    </xdr:to>
    <xdr:sp macro="" textlink="">
      <xdr:nvSpPr>
        <xdr:cNvPr id="109" name="TextBox 108">
          <a:extLst>
            <a:ext uri="{FF2B5EF4-FFF2-40B4-BE49-F238E27FC236}">
              <a16:creationId xmlns:a16="http://schemas.microsoft.com/office/drawing/2014/main" id="{DA5C6534-E581-4BBB-8D68-8BA6383C3DB5}"/>
            </a:ext>
          </a:extLst>
        </xdr:cNvPr>
        <xdr:cNvSpPr txBox="1"/>
      </xdr:nvSpPr>
      <xdr:spPr>
        <a:xfrm>
          <a:off x="13537345" y="5462524"/>
          <a:ext cx="1097280" cy="210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tx2">
                  <a:lumMod val="75000"/>
                </a:schemeClr>
              </a:solidFill>
              <a:latin typeface="Lato Black" panose="020F0502020204030203" pitchFamily="34" charset="0"/>
              <a:ea typeface="Lato Black" panose="020F0502020204030203" pitchFamily="34" charset="0"/>
              <a:cs typeface="Lato Black" panose="020F0502020204030203" pitchFamily="34" charset="0"/>
            </a:rPr>
            <a:t>Department</a:t>
          </a:r>
        </a:p>
      </xdr:txBody>
    </xdr:sp>
    <xdr:clientData/>
  </xdr:twoCellAnchor>
  <xdr:twoCellAnchor>
    <xdr:from>
      <xdr:col>14</xdr:col>
      <xdr:colOff>529406</xdr:colOff>
      <xdr:row>13</xdr:row>
      <xdr:rowOff>138685</xdr:rowOff>
    </xdr:from>
    <xdr:to>
      <xdr:col>21</xdr:col>
      <xdr:colOff>579610</xdr:colOff>
      <xdr:row>24</xdr:row>
      <xdr:rowOff>125936</xdr:rowOff>
    </xdr:to>
    <mc:AlternateContent xmlns:mc="http://schemas.openxmlformats.org/markup-compatibility/2006">
      <mc:Choice xmlns:cx1="http://schemas.microsoft.com/office/drawing/2015/9/8/chartex" Requires="cx1">
        <xdr:graphicFrame macro="">
          <xdr:nvGraphicFramePr>
            <xdr:cNvPr id="110" name="Chart 109">
              <a:extLst>
                <a:ext uri="{FF2B5EF4-FFF2-40B4-BE49-F238E27FC236}">
                  <a16:creationId xmlns:a16="http://schemas.microsoft.com/office/drawing/2014/main" id="{FD1C9DC0-6BE9-4D21-BCD1-51CA10FD71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775006" y="2697735"/>
              <a:ext cx="4673004" cy="215260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523960</xdr:colOff>
      <xdr:row>26</xdr:row>
      <xdr:rowOff>25908</xdr:rowOff>
    </xdr:from>
    <xdr:to>
      <xdr:col>21</xdr:col>
      <xdr:colOff>249203</xdr:colOff>
      <xdr:row>27</xdr:row>
      <xdr:rowOff>150062</xdr:rowOff>
    </xdr:to>
    <xdr:sp macro="" textlink="">
      <xdr:nvSpPr>
        <xdr:cNvPr id="111" name="TextBox 110">
          <a:extLst>
            <a:ext uri="{FF2B5EF4-FFF2-40B4-BE49-F238E27FC236}">
              <a16:creationId xmlns:a16="http://schemas.microsoft.com/office/drawing/2014/main" id="{FC28514C-1881-417C-A42C-567468B03C5A}"/>
            </a:ext>
          </a:extLst>
        </xdr:cNvPr>
        <xdr:cNvSpPr txBox="1"/>
      </xdr:nvSpPr>
      <xdr:spPr>
        <a:xfrm>
          <a:off x="11738183" y="5155228"/>
          <a:ext cx="2363884" cy="3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700">
              <a:solidFill>
                <a:schemeClr val="accent4">
                  <a:lumMod val="75000"/>
                </a:schemeClr>
              </a:solidFill>
              <a:latin typeface="Lato Black" panose="020F0502020204030203" pitchFamily="34" charset="0"/>
              <a:ea typeface="Lato Black" panose="020F0502020204030203" pitchFamily="34" charset="0"/>
              <a:cs typeface="Lato Black" panose="020F0502020204030203" pitchFamily="34" charset="0"/>
            </a:rPr>
            <a:t>Filters</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twoCellAnchor editAs="oneCell">
    <xdr:from>
      <xdr:col>5</xdr:col>
      <xdr:colOff>112889</xdr:colOff>
      <xdr:row>20</xdr:row>
      <xdr:rowOff>28222</xdr:rowOff>
    </xdr:from>
    <xdr:to>
      <xdr:col>5</xdr:col>
      <xdr:colOff>478649</xdr:colOff>
      <xdr:row>22</xdr:row>
      <xdr:rowOff>8278</xdr:rowOff>
    </xdr:to>
    <xdr:pic>
      <xdr:nvPicPr>
        <xdr:cNvPr id="10" name="Picture 9">
          <a:extLst>
            <a:ext uri="{FF2B5EF4-FFF2-40B4-BE49-F238E27FC236}">
              <a16:creationId xmlns:a16="http://schemas.microsoft.com/office/drawing/2014/main" id="{B62CEC89-5726-87EA-8CEB-A7276BF36D6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381963" y="3885259"/>
          <a:ext cx="365760" cy="365760"/>
        </a:xfrm>
        <a:prstGeom prst="rect">
          <a:avLst/>
        </a:prstGeom>
      </xdr:spPr>
    </xdr:pic>
    <xdr:clientData/>
  </xdr:twoCellAnchor>
  <xdr:twoCellAnchor editAs="oneCell">
    <xdr:from>
      <xdr:col>6</xdr:col>
      <xdr:colOff>93556</xdr:colOff>
      <xdr:row>20</xdr:row>
      <xdr:rowOff>28222</xdr:rowOff>
    </xdr:from>
    <xdr:to>
      <xdr:col>6</xdr:col>
      <xdr:colOff>459316</xdr:colOff>
      <xdr:row>22</xdr:row>
      <xdr:rowOff>8278</xdr:rowOff>
    </xdr:to>
    <xdr:pic>
      <xdr:nvPicPr>
        <xdr:cNvPr id="12" name="Picture 11">
          <a:extLst>
            <a:ext uri="{FF2B5EF4-FFF2-40B4-BE49-F238E27FC236}">
              <a16:creationId xmlns:a16="http://schemas.microsoft.com/office/drawing/2014/main" id="{5AAE0289-13C2-1ACE-8489-7561F5AA3BE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4016445" y="3885259"/>
          <a:ext cx="365760" cy="365760"/>
        </a:xfrm>
        <a:prstGeom prst="rect">
          <a:avLst/>
        </a:prstGeom>
      </xdr:spPr>
    </xdr:pic>
    <xdr:clientData/>
  </xdr:twoCellAnchor>
  <xdr:twoCellAnchor editAs="oneCell">
    <xdr:from>
      <xdr:col>7</xdr:col>
      <xdr:colOff>74223</xdr:colOff>
      <xdr:row>20</xdr:row>
      <xdr:rowOff>28222</xdr:rowOff>
    </xdr:from>
    <xdr:to>
      <xdr:col>7</xdr:col>
      <xdr:colOff>439983</xdr:colOff>
      <xdr:row>22</xdr:row>
      <xdr:rowOff>8278</xdr:rowOff>
    </xdr:to>
    <xdr:pic>
      <xdr:nvPicPr>
        <xdr:cNvPr id="14" name="Picture 13">
          <a:extLst>
            <a:ext uri="{FF2B5EF4-FFF2-40B4-BE49-F238E27FC236}">
              <a16:creationId xmlns:a16="http://schemas.microsoft.com/office/drawing/2014/main" id="{6BE1AE60-77FC-1A94-45DC-CE8D5AEDB1D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650927" y="3885259"/>
          <a:ext cx="365760" cy="365760"/>
        </a:xfrm>
        <a:prstGeom prst="rect">
          <a:avLst/>
        </a:prstGeom>
      </xdr:spPr>
    </xdr:pic>
    <xdr:clientData/>
  </xdr:twoCellAnchor>
  <xdr:twoCellAnchor editAs="oneCell">
    <xdr:from>
      <xdr:col>8</xdr:col>
      <xdr:colOff>54890</xdr:colOff>
      <xdr:row>20</xdr:row>
      <xdr:rowOff>28222</xdr:rowOff>
    </xdr:from>
    <xdr:to>
      <xdr:col>8</xdr:col>
      <xdr:colOff>420650</xdr:colOff>
      <xdr:row>22</xdr:row>
      <xdr:rowOff>8278</xdr:rowOff>
    </xdr:to>
    <xdr:pic>
      <xdr:nvPicPr>
        <xdr:cNvPr id="16" name="Picture 15">
          <a:extLst>
            <a:ext uri="{FF2B5EF4-FFF2-40B4-BE49-F238E27FC236}">
              <a16:creationId xmlns:a16="http://schemas.microsoft.com/office/drawing/2014/main" id="{2615E6D0-3B5C-ABF1-46EA-26F32A19688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285409" y="3885259"/>
          <a:ext cx="365760" cy="365760"/>
        </a:xfrm>
        <a:prstGeom prst="rect">
          <a:avLst/>
        </a:prstGeom>
      </xdr:spPr>
    </xdr:pic>
    <xdr:clientData/>
  </xdr:twoCellAnchor>
  <xdr:twoCellAnchor editAs="oneCell">
    <xdr:from>
      <xdr:col>9</xdr:col>
      <xdr:colOff>35556</xdr:colOff>
      <xdr:row>20</xdr:row>
      <xdr:rowOff>28222</xdr:rowOff>
    </xdr:from>
    <xdr:to>
      <xdr:col>9</xdr:col>
      <xdr:colOff>401316</xdr:colOff>
      <xdr:row>22</xdr:row>
      <xdr:rowOff>8278</xdr:rowOff>
    </xdr:to>
    <xdr:pic>
      <xdr:nvPicPr>
        <xdr:cNvPr id="18" name="Picture 17">
          <a:extLst>
            <a:ext uri="{FF2B5EF4-FFF2-40B4-BE49-F238E27FC236}">
              <a16:creationId xmlns:a16="http://schemas.microsoft.com/office/drawing/2014/main" id="{599F6FEF-2051-7A17-8BD8-B102B5F9F5B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919889" y="3885259"/>
          <a:ext cx="365760" cy="365760"/>
        </a:xfrm>
        <a:prstGeom prst="rect">
          <a:avLst/>
        </a:prstGeom>
      </xdr:spPr>
    </xdr:pic>
    <xdr:clientData/>
  </xdr:twoCellAnchor>
  <xdr:twoCellAnchor editAs="oneCell">
    <xdr:from>
      <xdr:col>3</xdr:col>
      <xdr:colOff>555037</xdr:colOff>
      <xdr:row>19</xdr:row>
      <xdr:rowOff>141112</xdr:rowOff>
    </xdr:from>
    <xdr:to>
      <xdr:col>4</xdr:col>
      <xdr:colOff>358422</xdr:colOff>
      <xdr:row>22</xdr:row>
      <xdr:rowOff>19756</xdr:rowOff>
    </xdr:to>
    <xdr:pic>
      <xdr:nvPicPr>
        <xdr:cNvPr id="24" name="Picture 23">
          <a:extLst>
            <a:ext uri="{FF2B5EF4-FFF2-40B4-BE49-F238E27FC236}">
              <a16:creationId xmlns:a16="http://schemas.microsoft.com/office/drawing/2014/main" id="{8E90A9AE-A4A6-F794-9DB2-E02A7242786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516481" y="3805297"/>
          <a:ext cx="457200" cy="457200"/>
        </a:xfrm>
        <a:prstGeom prst="rect">
          <a:avLst/>
        </a:prstGeom>
      </xdr:spPr>
    </xdr:pic>
    <xdr:clientData/>
  </xdr:twoCellAnchor>
  <xdr:twoCellAnchor editAs="oneCell">
    <xdr:from>
      <xdr:col>2</xdr:col>
      <xdr:colOff>51741</xdr:colOff>
      <xdr:row>19</xdr:row>
      <xdr:rowOff>65852</xdr:rowOff>
    </xdr:from>
    <xdr:to>
      <xdr:col>2</xdr:col>
      <xdr:colOff>600381</xdr:colOff>
      <xdr:row>22</xdr:row>
      <xdr:rowOff>35936</xdr:rowOff>
    </xdr:to>
    <xdr:pic>
      <xdr:nvPicPr>
        <xdr:cNvPr id="26" name="Picture 25">
          <a:extLst>
            <a:ext uri="{FF2B5EF4-FFF2-40B4-BE49-F238E27FC236}">
              <a16:creationId xmlns:a16="http://schemas.microsoft.com/office/drawing/2014/main" id="{34101356-7301-72F5-7225-B9C4290B133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59371" y="3730037"/>
          <a:ext cx="548640" cy="548640"/>
        </a:xfrm>
        <a:prstGeom prst="rect">
          <a:avLst/>
        </a:prstGeom>
      </xdr:spPr>
    </xdr:pic>
    <xdr:clientData/>
  </xdr:twoCellAnchor>
  <xdr:twoCellAnchor editAs="oneCell">
    <xdr:from>
      <xdr:col>9</xdr:col>
      <xdr:colOff>653814</xdr:colOff>
      <xdr:row>19</xdr:row>
      <xdr:rowOff>192851</xdr:rowOff>
    </xdr:from>
    <xdr:to>
      <xdr:col>10</xdr:col>
      <xdr:colOff>640079</xdr:colOff>
      <xdr:row>23</xdr:row>
      <xdr:rowOff>61523</xdr:rowOff>
    </xdr:to>
    <xdr:pic>
      <xdr:nvPicPr>
        <xdr:cNvPr id="28" name="Picture 27">
          <a:extLst>
            <a:ext uri="{FF2B5EF4-FFF2-40B4-BE49-F238E27FC236}">
              <a16:creationId xmlns:a16="http://schemas.microsoft.com/office/drawing/2014/main" id="{B3A6F665-DB41-91E4-CAF8-BF5BA66106F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538147" y="3857036"/>
          <a:ext cx="640080" cy="64008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620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9385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457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267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deer T" refreshedDate="46012.419813773151" createdVersion="8" refreshedVersion="8" minRefreshableVersion="3" recordCount="1470" xr:uid="{B4DD0C33-D2FE-4A9C-B992-6BB053C963B3}">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88349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F23013-5BA0-4188-9AC0-048C5721109F}"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F4EB1B-0B7D-4FCB-B961-09760109F583}"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2">
      <pivotArea outline="0" collapsedLevelsAreSubtotals="1"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5D8519-5199-4F0D-8691-DC2CF2A739D2}"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AB5222-0E82-41C6-80D4-30B3C9C6B4E8}"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44">
    <pivotField showAll="0"/>
    <pivotField showAll="0"/>
    <pivotField showAll="0"/>
    <pivotField showAll="0"/>
    <pivotField showAll="0">
      <items count="4">
        <item x="2"/>
        <item x="1"/>
        <item x="0"/>
        <item t="default"/>
      </items>
    </pivotField>
    <pivotField showAll="0" sortType="a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E7BAB2-7830-46BC-A229-68778F3E3DEF}"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sortType="descending">
      <items count="10">
        <item x="6"/>
        <item x="0"/>
        <item x="1"/>
        <item x="7"/>
        <item x="3"/>
        <item x="5"/>
        <item x="2"/>
        <item x="8"/>
        <item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B5FFEB-6260-4E61-8AB0-737EE0ED9049}"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20">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4" count="1" selected="0">
            <x v="0"/>
          </reference>
        </references>
      </pivotArea>
    </chartFormat>
    <chartFormat chart="12" format="11">
      <pivotArea type="data" outline="0" fieldPosition="0">
        <references count="2">
          <reference field="4294967294" count="1" selected="0">
            <x v="0"/>
          </reference>
          <reference field="4" count="1" selected="0">
            <x v="1"/>
          </reference>
        </references>
      </pivotArea>
    </chartFormat>
    <chartFormat chart="12" format="12">
      <pivotArea type="data" outline="0" fieldPosition="0">
        <references count="2">
          <reference field="4294967294" count="1" selected="0">
            <x v="0"/>
          </reference>
          <reference field="4" count="1" selected="0">
            <x v="2"/>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4" count="1" selected="0">
            <x v="0"/>
          </reference>
        </references>
      </pivotArea>
    </chartFormat>
    <chartFormat chart="13" format="15">
      <pivotArea type="data" outline="0" fieldPosition="0">
        <references count="2">
          <reference field="4294967294" count="1" selected="0">
            <x v="0"/>
          </reference>
          <reference field="4" count="1" selected="0">
            <x v="1"/>
          </reference>
        </references>
      </pivotArea>
    </chartFormat>
    <chartFormat chart="13" format="16">
      <pivotArea type="data" outline="0" fieldPosition="0">
        <references count="2">
          <reference field="4294967294" count="1" selected="0">
            <x v="0"/>
          </reference>
          <reference field="4" count="1" selected="0">
            <x v="2"/>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4" count="1" selected="0">
            <x v="0"/>
          </reference>
        </references>
      </pivotArea>
    </chartFormat>
    <chartFormat chart="14" format="15">
      <pivotArea type="data" outline="0" fieldPosition="0">
        <references count="2">
          <reference field="4294967294" count="1" selected="0">
            <x v="0"/>
          </reference>
          <reference field="4" count="1" selected="0">
            <x v="1"/>
          </reference>
        </references>
      </pivotArea>
    </chartFormat>
    <chartFormat chart="14" format="16">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71E752-58FD-4073-863F-F63692123E0F}"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5">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5F732D-B09E-4B59-9203-0E90795BFCA3}"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AE892D7-8029-4FB3-B949-46D1EFDD5A25}" sourceName="Gender">
  <pivotTables>
    <pivotTable tabId="10" name="Gender"/>
    <pivotTable tabId="14" name="Attrition by Age Group"/>
    <pivotTable tabId="12" name="Attrition by Job"/>
    <pivotTable tabId="13" name="Dept wise Attrition"/>
    <pivotTable tabId="11" name="Education by Attrition"/>
    <pivotTable tabId="7" name="KPI"/>
    <pivotTable tabId="15" name="Marital Status"/>
    <pivotTable tabId="9" name="Rating"/>
  </pivotTables>
  <data>
    <tabular pivotCacheId="188834907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3BFC56D-8BC2-4200-AAD9-4AC7ED9CA936}" sourceName="Department">
  <pivotTables>
    <pivotTable tabId="15" name="Marital Status"/>
    <pivotTable tabId="14" name="Attrition by Age Group"/>
    <pivotTable tabId="12" name="Attrition by Job"/>
    <pivotTable tabId="13" name="Dept wise Attrition"/>
    <pivotTable tabId="11" name="Education by Attrition"/>
    <pivotTable tabId="10" name="Gender"/>
    <pivotTable tabId="7" name="KPI"/>
    <pivotTable tabId="9" name="Rating"/>
  </pivotTables>
  <data>
    <tabular pivotCacheId="188834907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B00D5C7D-949D-4D16-BB68-04ED10C267C8}" sourceName="Education Field">
  <pivotTables>
    <pivotTable tabId="15" name="Marital Status"/>
    <pivotTable tabId="14" name="Attrition by Age Group"/>
    <pivotTable tabId="12" name="Attrition by Job"/>
    <pivotTable tabId="13" name="Dept wise Attrition"/>
    <pivotTable tabId="11" name="Education by Attrition"/>
    <pivotTable tabId="10" name="Gender"/>
    <pivotTable tabId="7" name="KPI"/>
    <pivotTable tabId="9" name="Rating"/>
  </pivotTables>
  <data>
    <tabular pivotCacheId="1888349075">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2D647DC-221B-45E0-B1B6-61B43D8216C3}" cache="Slicer_Gender2" caption="Gender" style="SlicerStyleLight4"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6D6ECBF-18CD-4B5C-AC87-14EC9E2F5E86}" cache="Slicer_Gender2" caption="Gender" rowHeight="262466"/>
  <slicer name="Education Field" xr10:uid="{A9300960-EEF6-40C5-958A-671E1BC88584}" cache="Slicer_Education_Field2" caption="Education Field"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E82B7620-1E5A-4C4D-B94B-36B290789F0E}" cache="Slicer_Gender2" caption="Gender" rowHeight="262466"/>
  <slicer name="Education Field 1" xr10:uid="{700DFB3F-A06F-49AC-B3D8-B984104FD92C}" cache="Slicer_Education_Field2" caption="Education Field"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A00CCD9-E96F-47B3-A95B-6C1742190413}" cache="Slicer_Department" caption="Department" rowHeight="262466"/>
  <slicer name="Education Field 2" xr10:uid="{E386CED0-C55F-438B-9E9F-C941D99649B9}" cache="Slicer_Education_Field2" caption="Education Field"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290A58EE-58B3-479E-9731-48AFF1D7728F}" cache="Slicer_Gender2" caption="Gender" columnCount="2" style="slicer-HR" rowHeight="365760"/>
  <slicer name="Department 1" xr10:uid="{A113F271-7810-4EBF-B58E-A06061907887}" cache="Slicer_Department" style="slicer-HR" rowHeight="262466"/>
  <slicer name="Education Field 3" xr10:uid="{C68A6E4B-9EC6-4249-B875-880400590254}" cache="Slicer_Education_Field2" startItem="1" style="slicer-HR" rowHeight="262466"/>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FAB4657E-C5A9-45D3-9E63-B2F0449A8734}" cache="Slicer_Gender2" caption="Gender" columnCount="2" style="slicer-HR" rowHeight="365760"/>
  <slicer name="Department 2" xr10:uid="{FA2ABF47-6FDD-4D10-97CB-5E01DD6C4F55}" cache="Slicer_Department" style="slicer-HR" rowHeight="262466"/>
  <slicer name="Education Field 4" xr10:uid="{AC0159B1-1343-43FA-A88F-C096A2D279B0}" cache="Slicer_Education_Field2" style="slicer-HR"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Medium5" showFirstColumn="1" showLastColumn="1" showRowStripes="1" showColumnStripes="0"/>
</table>
</file>

<file path=xl/theme/theme1.xml><?xml version="1.0" encoding="utf-8"?>
<a:theme xmlns:a="http://schemas.openxmlformats.org/drawingml/2006/main" name="Sheets">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4F12D-50EB-4372-AEDB-C0A7D5331871}">
  <dimension ref="A3:E8"/>
  <sheetViews>
    <sheetView zoomScale="90" workbookViewId="0">
      <selection activeCell="A9" sqref="A9"/>
    </sheetView>
  </sheetViews>
  <sheetFormatPr defaultRowHeight="15.5" x14ac:dyDescent="0.35"/>
  <cols>
    <col min="1" max="1" width="24.58203125" bestFit="1" customWidth="1"/>
    <col min="2" max="2" width="22.6640625" bestFit="1" customWidth="1"/>
    <col min="3" max="3" width="13.58203125" bestFit="1" customWidth="1"/>
    <col min="4" max="4" width="15.25" bestFit="1" customWidth="1"/>
    <col min="5" max="5" width="12.1640625" bestFit="1" customWidth="1"/>
  </cols>
  <sheetData>
    <row r="3" spans="1:5" x14ac:dyDescent="0.35">
      <c r="A3" t="s">
        <v>1554</v>
      </c>
      <c r="B3" t="s">
        <v>1555</v>
      </c>
      <c r="C3" t="s">
        <v>1556</v>
      </c>
    </row>
    <row r="4" spans="1:5" x14ac:dyDescent="0.35">
      <c r="A4" s="17">
        <v>1470</v>
      </c>
      <c r="B4" s="17">
        <v>237</v>
      </c>
      <c r="C4" s="17">
        <v>36.923809523809524</v>
      </c>
    </row>
    <row r="7" spans="1:5" x14ac:dyDescent="0.35">
      <c r="A7" s="1" t="s">
        <v>1557</v>
      </c>
      <c r="B7" s="1" t="s">
        <v>1558</v>
      </c>
      <c r="C7" s="1" t="s">
        <v>1559</v>
      </c>
      <c r="D7" s="1" t="s">
        <v>1560</v>
      </c>
      <c r="E7" s="1" t="s">
        <v>1561</v>
      </c>
    </row>
    <row r="8" spans="1:5" x14ac:dyDescent="0.35">
      <c r="A8">
        <f>GETPIVOTDATA("Count of Employee Number",$A$3)</f>
        <v>1470</v>
      </c>
      <c r="B8">
        <f>GETPIVOTDATA("Sum of CF_attrition count",$A$3)</f>
        <v>237</v>
      </c>
      <c r="C8" s="4">
        <f>GETPIVOTDATA("Average of Age",$A$3)</f>
        <v>36.923809523809524</v>
      </c>
      <c r="D8">
        <f>A8-B8</f>
        <v>1233</v>
      </c>
      <c r="E8" s="2">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2F075-DC71-4FD7-A1A0-375EF881E3D1}">
  <dimension ref="A3:C9"/>
  <sheetViews>
    <sheetView zoomScale="102" workbookViewId="0">
      <selection activeCell="H27" sqref="H27"/>
    </sheetView>
  </sheetViews>
  <sheetFormatPr defaultRowHeight="15.5" x14ac:dyDescent="0.35"/>
  <cols>
    <col min="1" max="1" width="23.4140625" bestFit="1" customWidth="1"/>
  </cols>
  <sheetData>
    <row r="3" spans="1:3" x14ac:dyDescent="0.35">
      <c r="A3" t="s">
        <v>1562</v>
      </c>
    </row>
    <row r="4" spans="1:3" x14ac:dyDescent="0.35">
      <c r="A4" s="3">
        <v>2.6265306122448981</v>
      </c>
    </row>
    <row r="8" spans="1:3" x14ac:dyDescent="0.35">
      <c r="A8" t="s">
        <v>1563</v>
      </c>
      <c r="B8" s="3">
        <f>GETPIVOTDATA("Job Satisfaction",$A$3)</f>
        <v>2.6265306122448981</v>
      </c>
      <c r="C8">
        <f>B8/4</f>
        <v>0.65663265306122454</v>
      </c>
    </row>
    <row r="9" spans="1:3" x14ac:dyDescent="0.35">
      <c r="A9" t="s">
        <v>1564</v>
      </c>
      <c r="B9" s="3">
        <f>4-GETPIVOTDATA("Job Satisfaction",$A$3)</f>
        <v>1.3734693877551019</v>
      </c>
      <c r="C9">
        <f>B9/4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3F507-3651-428B-9B7E-21FD4EFDB2E2}">
  <dimension ref="A3:C10"/>
  <sheetViews>
    <sheetView workbookViewId="0">
      <selection activeCell="K17" sqref="K17"/>
    </sheetView>
  </sheetViews>
  <sheetFormatPr defaultRowHeight="15.5" x14ac:dyDescent="0.35"/>
  <cols>
    <col min="1" max="1" width="12" bestFit="1" customWidth="1"/>
    <col min="2" max="2" width="22.08203125" bestFit="1" customWidth="1"/>
  </cols>
  <sheetData>
    <row r="3" spans="1:3" x14ac:dyDescent="0.35">
      <c r="A3" s="5" t="s">
        <v>1565</v>
      </c>
      <c r="B3" t="s">
        <v>1567</v>
      </c>
    </row>
    <row r="4" spans="1:3" x14ac:dyDescent="0.35">
      <c r="A4" s="6" t="s">
        <v>51</v>
      </c>
      <c r="B4" s="17">
        <v>588</v>
      </c>
    </row>
    <row r="5" spans="1:3" x14ac:dyDescent="0.35">
      <c r="A5" s="6" t="s">
        <v>62</v>
      </c>
      <c r="B5" s="17">
        <v>882</v>
      </c>
    </row>
    <row r="6" spans="1:3" x14ac:dyDescent="0.35">
      <c r="A6" s="6" t="s">
        <v>1566</v>
      </c>
      <c r="B6" s="17">
        <v>1470</v>
      </c>
    </row>
    <row r="9" spans="1:3" x14ac:dyDescent="0.35">
      <c r="A9" s="7" t="s">
        <v>51</v>
      </c>
      <c r="B9" s="8">
        <f>IFERROR(GETPIVOTDATA("Employee Count",$A$3,"Gender","Female"),0)</f>
        <v>588</v>
      </c>
      <c r="C9" s="9">
        <f>IFERROR(B9/($B$9+$B$10),0)</f>
        <v>0.4</v>
      </c>
    </row>
    <row r="10" spans="1:3" x14ac:dyDescent="0.35">
      <c r="A10" s="7" t="s">
        <v>62</v>
      </c>
      <c r="B10" s="8">
        <f>IFERROR(GETPIVOTDATA("Employee Count",$A$3,"Gender","Male"),0)</f>
        <v>882</v>
      </c>
      <c r="C10" s="9">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EF45B-C9A4-4657-9E76-80F4363863CE}">
  <dimension ref="A3:B9"/>
  <sheetViews>
    <sheetView workbookViewId="0">
      <selection activeCell="B7" sqref="B7"/>
    </sheetView>
  </sheetViews>
  <sheetFormatPr defaultRowHeight="15.5" x14ac:dyDescent="0.35"/>
  <cols>
    <col min="1" max="1" width="15.58203125" bestFit="1" customWidth="1"/>
    <col min="2" max="2" width="22.08203125" bestFit="1" customWidth="1"/>
  </cols>
  <sheetData>
    <row r="3" spans="1:2" x14ac:dyDescent="0.35">
      <c r="A3" s="5" t="s">
        <v>1565</v>
      </c>
      <c r="B3" t="s">
        <v>1555</v>
      </c>
    </row>
    <row r="4" spans="1:2" x14ac:dyDescent="0.35">
      <c r="A4" s="6" t="s">
        <v>134</v>
      </c>
      <c r="B4" s="17">
        <v>5</v>
      </c>
    </row>
    <row r="5" spans="1:2" x14ac:dyDescent="0.35">
      <c r="A5" s="6" t="s">
        <v>65</v>
      </c>
      <c r="B5" s="17">
        <v>31</v>
      </c>
    </row>
    <row r="6" spans="1:2" x14ac:dyDescent="0.35">
      <c r="A6" s="6" t="s">
        <v>55</v>
      </c>
      <c r="B6" s="17">
        <v>44</v>
      </c>
    </row>
    <row r="7" spans="1:2" x14ac:dyDescent="0.35">
      <c r="A7" s="6" t="s">
        <v>71</v>
      </c>
      <c r="B7" s="17">
        <v>58</v>
      </c>
    </row>
    <row r="8" spans="1:2" x14ac:dyDescent="0.35">
      <c r="A8" s="6" t="s">
        <v>77</v>
      </c>
      <c r="B8" s="17">
        <v>99</v>
      </c>
    </row>
    <row r="9" spans="1:2" x14ac:dyDescent="0.35">
      <c r="A9" s="6" t="s">
        <v>1566</v>
      </c>
      <c r="B9" s="17">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7AB29-EB84-46D2-BF0C-0CAB4189E1AC}">
  <dimension ref="A3:F25"/>
  <sheetViews>
    <sheetView workbookViewId="0">
      <selection activeCell="A16" sqref="A16"/>
    </sheetView>
  </sheetViews>
  <sheetFormatPr defaultRowHeight="15.5" x14ac:dyDescent="0.35"/>
  <cols>
    <col min="1" max="1" width="22.83203125" bestFit="1" customWidth="1"/>
    <col min="2" max="2" width="22.08203125" bestFit="1" customWidth="1"/>
    <col min="5" max="5" width="22.83203125" bestFit="1" customWidth="1"/>
  </cols>
  <sheetData>
    <row r="3" spans="1:6" x14ac:dyDescent="0.35">
      <c r="A3" s="5" t="s">
        <v>1565</v>
      </c>
      <c r="B3" t="s">
        <v>1555</v>
      </c>
      <c r="E3" s="1"/>
      <c r="F3" s="1"/>
    </row>
    <row r="4" spans="1:6" x14ac:dyDescent="0.35">
      <c r="A4" s="6" t="s">
        <v>99</v>
      </c>
      <c r="B4" s="17">
        <v>33</v>
      </c>
      <c r="E4" s="12"/>
      <c r="F4" s="11"/>
    </row>
    <row r="5" spans="1:6" x14ac:dyDescent="0.35">
      <c r="A5" s="6" t="s">
        <v>52</v>
      </c>
      <c r="B5" s="17">
        <v>57</v>
      </c>
      <c r="E5" s="13"/>
      <c r="F5" s="14"/>
    </row>
    <row r="6" spans="1:6" x14ac:dyDescent="0.35">
      <c r="A6" s="6" t="s">
        <v>63</v>
      </c>
      <c r="B6" s="17">
        <v>47</v>
      </c>
      <c r="E6" s="13"/>
      <c r="F6" s="14"/>
    </row>
    <row r="7" spans="1:6" x14ac:dyDescent="0.35">
      <c r="A7" s="6" t="s">
        <v>101</v>
      </c>
      <c r="B7" s="17">
        <v>2</v>
      </c>
      <c r="E7" s="13"/>
      <c r="F7" s="14"/>
    </row>
    <row r="8" spans="1:6" x14ac:dyDescent="0.35">
      <c r="A8" s="6" t="s">
        <v>81</v>
      </c>
      <c r="B8" s="17">
        <v>10</v>
      </c>
      <c r="E8" s="13"/>
      <c r="F8" s="14"/>
    </row>
    <row r="9" spans="1:6" x14ac:dyDescent="0.35">
      <c r="A9" s="6" t="s">
        <v>95</v>
      </c>
      <c r="B9" s="17">
        <v>5</v>
      </c>
      <c r="E9" s="13"/>
      <c r="F9" s="14"/>
    </row>
    <row r="10" spans="1:6" x14ac:dyDescent="0.35">
      <c r="A10" s="6" t="s">
        <v>68</v>
      </c>
      <c r="B10" s="17">
        <v>62</v>
      </c>
      <c r="E10" s="13"/>
      <c r="F10" s="14"/>
    </row>
    <row r="11" spans="1:6" x14ac:dyDescent="0.35">
      <c r="A11" s="6" t="s">
        <v>163</v>
      </c>
      <c r="B11" s="17">
        <v>12</v>
      </c>
      <c r="E11" s="13"/>
      <c r="F11" s="14"/>
    </row>
    <row r="12" spans="1:6" x14ac:dyDescent="0.35">
      <c r="A12" s="6" t="s">
        <v>83</v>
      </c>
      <c r="B12" s="17">
        <v>9</v>
      </c>
      <c r="E12" s="13"/>
      <c r="F12" s="14"/>
    </row>
    <row r="13" spans="1:6" x14ac:dyDescent="0.35">
      <c r="A13" s="6" t="s">
        <v>1566</v>
      </c>
      <c r="B13" s="17">
        <v>237</v>
      </c>
    </row>
    <row r="16" spans="1:6" x14ac:dyDescent="0.35">
      <c r="A16" s="6" t="s">
        <v>9</v>
      </c>
      <c r="B16" s="1" t="s">
        <v>0</v>
      </c>
    </row>
    <row r="17" spans="1:2" x14ac:dyDescent="0.35">
      <c r="A17" t="str" cm="1">
        <f t="array" ref="A17:B25">A4:B12</f>
        <v>Sales Representative</v>
      </c>
      <c r="B17">
        <v>33</v>
      </c>
    </row>
    <row r="18" spans="1:2" x14ac:dyDescent="0.35">
      <c r="A18" t="str">
        <v>Sales Executive</v>
      </c>
      <c r="B18">
        <v>57</v>
      </c>
    </row>
    <row r="19" spans="1:2" x14ac:dyDescent="0.35">
      <c r="A19" t="str">
        <v>Research Scientist</v>
      </c>
      <c r="B19">
        <v>47</v>
      </c>
    </row>
    <row r="20" spans="1:2" x14ac:dyDescent="0.35">
      <c r="A20" t="str">
        <v>Research Director</v>
      </c>
      <c r="B20">
        <v>2</v>
      </c>
    </row>
    <row r="21" spans="1:2" x14ac:dyDescent="0.35">
      <c r="A21" t="str">
        <v>Manufacturing Director</v>
      </c>
      <c r="B21">
        <v>10</v>
      </c>
    </row>
    <row r="22" spans="1:2" x14ac:dyDescent="0.35">
      <c r="A22" t="str">
        <v>Manager</v>
      </c>
      <c r="B22">
        <v>5</v>
      </c>
    </row>
    <row r="23" spans="1:2" x14ac:dyDescent="0.35">
      <c r="A23" t="str">
        <v>Laboratory Technician</v>
      </c>
      <c r="B23">
        <v>62</v>
      </c>
    </row>
    <row r="24" spans="1:2" x14ac:dyDescent="0.35">
      <c r="A24" t="str">
        <v>Human Resources</v>
      </c>
      <c r="B24">
        <v>12</v>
      </c>
    </row>
    <row r="25" spans="1:2" x14ac:dyDescent="0.35">
      <c r="A25" t="str">
        <v>Healthcare Representative</v>
      </c>
      <c r="B25">
        <v>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3D66-FFE8-4CDB-9077-3BA77F1E9B92}">
  <dimension ref="A3:B7"/>
  <sheetViews>
    <sheetView workbookViewId="0">
      <selection activeCell="B4" sqref="B4"/>
    </sheetView>
  </sheetViews>
  <sheetFormatPr defaultRowHeight="15.5" x14ac:dyDescent="0.35"/>
  <cols>
    <col min="1" max="1" width="12" bestFit="1" customWidth="1"/>
    <col min="2" max="2" width="22.08203125" bestFit="1" customWidth="1"/>
  </cols>
  <sheetData>
    <row r="3" spans="1:2" x14ac:dyDescent="0.35">
      <c r="A3" s="5" t="s">
        <v>1565</v>
      </c>
      <c r="B3" t="s">
        <v>1555</v>
      </c>
    </row>
    <row r="4" spans="1:2" x14ac:dyDescent="0.35">
      <c r="A4" s="6" t="s">
        <v>161</v>
      </c>
      <c r="B4" s="2">
        <v>5.0632911392405063E-2</v>
      </c>
    </row>
    <row r="5" spans="1:2" x14ac:dyDescent="0.35">
      <c r="A5" s="6" t="s">
        <v>60</v>
      </c>
      <c r="B5" s="2">
        <v>0.56118143459915615</v>
      </c>
    </row>
    <row r="6" spans="1:2" x14ac:dyDescent="0.35">
      <c r="A6" s="6" t="s">
        <v>48</v>
      </c>
      <c r="B6" s="2">
        <v>0.3881856540084388</v>
      </c>
    </row>
    <row r="7" spans="1:2" x14ac:dyDescent="0.35">
      <c r="A7" s="6" t="s">
        <v>1566</v>
      </c>
      <c r="B7" s="2">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BCA6D-70B2-4E7C-A953-1E11F4353742}">
  <dimension ref="A3:B9"/>
  <sheetViews>
    <sheetView topLeftCell="A8" workbookViewId="0">
      <selection activeCell="B7" sqref="B7"/>
    </sheetView>
  </sheetViews>
  <sheetFormatPr defaultRowHeight="15.5" x14ac:dyDescent="0.35"/>
  <cols>
    <col min="1" max="1" width="12" bestFit="1" customWidth="1"/>
    <col min="2" max="2" width="22.08203125" bestFit="1" customWidth="1"/>
  </cols>
  <sheetData>
    <row r="3" spans="1:2" x14ac:dyDescent="0.35">
      <c r="A3" s="10" t="s">
        <v>1565</v>
      </c>
      <c r="B3" s="11" t="s">
        <v>1555</v>
      </c>
    </row>
    <row r="4" spans="1:2" x14ac:dyDescent="0.35">
      <c r="A4" s="12" t="s">
        <v>69</v>
      </c>
      <c r="B4" s="18">
        <v>112</v>
      </c>
    </row>
    <row r="5" spans="1:2" x14ac:dyDescent="0.35">
      <c r="A5" s="13" t="s">
        <v>46</v>
      </c>
      <c r="B5" s="19">
        <v>51</v>
      </c>
    </row>
    <row r="6" spans="1:2" x14ac:dyDescent="0.35">
      <c r="A6" s="13" t="s">
        <v>92</v>
      </c>
      <c r="B6" s="19">
        <v>38</v>
      </c>
    </row>
    <row r="7" spans="1:2" x14ac:dyDescent="0.35">
      <c r="A7" s="13" t="s">
        <v>58</v>
      </c>
      <c r="B7" s="19">
        <v>25</v>
      </c>
    </row>
    <row r="8" spans="1:2" x14ac:dyDescent="0.35">
      <c r="A8" s="13" t="s">
        <v>75</v>
      </c>
      <c r="B8" s="19">
        <v>11</v>
      </c>
    </row>
    <row r="9" spans="1:2" x14ac:dyDescent="0.35">
      <c r="A9" s="15" t="s">
        <v>1566</v>
      </c>
      <c r="B9" s="20">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56BDC-0BCB-40B4-8743-F2A7A97E51C8}">
  <dimension ref="A3:E7"/>
  <sheetViews>
    <sheetView topLeftCell="C1" workbookViewId="0">
      <selection activeCell="N5" sqref="N5"/>
    </sheetView>
  </sheetViews>
  <sheetFormatPr defaultRowHeight="15.5" x14ac:dyDescent="0.35"/>
  <cols>
    <col min="1" max="1" width="12" bestFit="1" customWidth="1"/>
    <col min="2" max="2" width="15.33203125" bestFit="1" customWidth="1"/>
  </cols>
  <sheetData>
    <row r="3" spans="1:5" x14ac:dyDescent="0.35">
      <c r="A3" s="5" t="s">
        <v>1565</v>
      </c>
      <c r="B3" t="s">
        <v>1568</v>
      </c>
      <c r="D3" s="1" t="s">
        <v>10</v>
      </c>
      <c r="E3" s="1" t="s">
        <v>0</v>
      </c>
    </row>
    <row r="4" spans="1:5" x14ac:dyDescent="0.35">
      <c r="A4" s="6" t="s">
        <v>79</v>
      </c>
      <c r="B4" s="17">
        <v>327</v>
      </c>
      <c r="D4" t="str" cm="1">
        <f t="array" ref="D4:E6">A4:B6</f>
        <v>Divorced</v>
      </c>
      <c r="E4">
        <v>327</v>
      </c>
    </row>
    <row r="5" spans="1:5" x14ac:dyDescent="0.35">
      <c r="A5" s="6" t="s">
        <v>53</v>
      </c>
      <c r="B5" s="17">
        <v>470</v>
      </c>
      <c r="D5" t="str">
        <v>Single</v>
      </c>
      <c r="E5">
        <v>470</v>
      </c>
    </row>
    <row r="6" spans="1:5" x14ac:dyDescent="0.35">
      <c r="A6" s="6" t="s">
        <v>64</v>
      </c>
      <c r="B6" s="17">
        <v>673</v>
      </c>
      <c r="D6" t="str">
        <v>Married</v>
      </c>
      <c r="E6">
        <v>673</v>
      </c>
    </row>
    <row r="7" spans="1:5" x14ac:dyDescent="0.35">
      <c r="A7" s="6" t="s">
        <v>1566</v>
      </c>
      <c r="B7" s="17">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D9" sqref="D9"/>
    </sheetView>
  </sheetViews>
  <sheetFormatPr defaultColWidth="11.25" defaultRowHeight="15" customHeight="1" x14ac:dyDescent="0.35"/>
  <cols>
    <col min="1" max="1" width="9.75" customWidth="1"/>
    <col min="2" max="2" width="15.4140625" customWidth="1"/>
    <col min="3" max="3" width="13.33203125" customWidth="1"/>
    <col min="4" max="4" width="17.58203125" customWidth="1"/>
    <col min="5" max="5" width="12.75" customWidth="1"/>
    <col min="6" max="6" width="15.4140625" customWidth="1"/>
    <col min="7" max="7" width="9" customWidth="1"/>
    <col min="8" max="8" width="18.08203125" customWidth="1"/>
    <col min="9" max="9" width="8.58203125" customWidth="1"/>
    <col min="10" max="10" width="23.33203125" customWidth="1"/>
    <col min="11" max="11" width="14.4140625" customWidth="1"/>
    <col min="12" max="12" width="11.25" customWidth="1"/>
    <col min="13" max="13" width="8.58203125" customWidth="1"/>
    <col min="14" max="14" width="22.75" customWidth="1"/>
    <col min="15" max="17" width="8.58203125" customWidth="1"/>
    <col min="18" max="18" width="17.9140625" customWidth="1"/>
    <col min="19" max="19" width="18.6640625" customWidth="1"/>
    <col min="20" max="20" width="16.4140625" customWidth="1"/>
    <col min="21" max="21" width="20.4140625" customWidth="1"/>
    <col min="22" max="22" width="11.08203125" customWidth="1"/>
    <col min="23" max="23" width="20.08203125" customWidth="1"/>
    <col min="24" max="24" width="16" customWidth="1"/>
    <col min="25" max="25" width="16.4140625" customWidth="1"/>
    <col min="26" max="26" width="23.58203125" customWidth="1"/>
    <col min="27" max="27" width="12.4140625" customWidth="1"/>
    <col min="28" max="28" width="16.4140625" customWidth="1"/>
    <col min="29" max="29" width="10.25" customWidth="1"/>
    <col min="30" max="30" width="15.6640625" customWidth="1"/>
    <col min="31" max="31" width="16.33203125" customWidth="1"/>
    <col min="32" max="32" width="14" customWidth="1"/>
    <col min="33" max="33" width="23.58203125" customWidth="1"/>
    <col min="34" max="34" width="18.75" customWidth="1"/>
    <col min="35" max="35" width="19.08203125" customWidth="1"/>
    <col min="36" max="36" width="23.33203125" customWidth="1"/>
    <col min="37" max="37" width="15.6640625" customWidth="1"/>
    <col min="38" max="38" width="18.25" customWidth="1"/>
    <col min="39" max="39" width="19.4140625" customWidth="1"/>
    <col min="40" max="40" width="17.58203125" customWidth="1"/>
    <col min="41" max="41" width="17.9140625" customWidth="1"/>
    <col min="42" max="42" width="20.33203125" customWidth="1"/>
    <col min="43" max="43" width="25.25" customWidth="1"/>
    <col min="44" max="44" width="23.6640625" customWidth="1"/>
  </cols>
  <sheetData>
    <row r="1" spans="1:4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9ECE5-3030-4DF9-A17B-6474098F79E4}">
  <dimension ref="A1:A20"/>
  <sheetViews>
    <sheetView zoomScale="49" zoomScaleNormal="44" workbookViewId="0">
      <selection activeCell="C23" sqref="C23"/>
    </sheetView>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1DF96-6664-4A03-9FED-7A7A0DFF178E}">
  <dimension ref="A1"/>
  <sheetViews>
    <sheetView tabSelected="1" zoomScale="78" zoomScaleNormal="70" workbookViewId="0">
      <selection activeCell="X34" sqref="X34"/>
    </sheetView>
  </sheetViews>
  <sheetFormatPr defaultRowHeight="15.5" x14ac:dyDescent="0.35"/>
  <cols>
    <col min="1" max="16384" width="8.66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topLeftCell="A14" zoomScale="135" workbookViewId="0">
      <selection activeCell="K21" sqref="K21"/>
    </sheetView>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topLeftCell="T1" zoomScaleNormal="100"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KPI</vt:lpstr>
      <vt:lpstr>Rating</vt:lpstr>
      <vt:lpstr>Gender</vt:lpstr>
      <vt:lpstr>Education by Attrition</vt:lpstr>
      <vt:lpstr>Attrition by Job</vt:lpstr>
      <vt:lpstr>Dept wise Attrition</vt:lpstr>
      <vt:lpstr>Attrition by Age Group</vt:lpstr>
      <vt:lpstr>Marital Status</vt:lpstr>
      <vt:lpstr>Data</vt:lpstr>
      <vt:lpstr>Dashboard</vt:lpstr>
      <vt:lpstr>Final Dashboard</vt:lpstr>
      <vt:lpstr>Images</vt:lpstr>
      <vt:lpstr>Background 1</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21411588 - Hadeer MhdHusam Eddin Khalid Altabba</cp:lastModifiedBy>
  <dcterms:created xsi:type="dcterms:W3CDTF">2022-12-29T16:02:46Z</dcterms:created>
  <dcterms:modified xsi:type="dcterms:W3CDTF">2025-12-24T08:51:02Z</dcterms:modified>
</cp:coreProperties>
</file>